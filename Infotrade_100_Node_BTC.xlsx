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ướng dẫn" sheetId="1" state="visible" r:id="rId3"/>
    <sheet name="Nodes" sheetId="2" state="visible" r:id="rId4"/>
  </sheets>
  <definedNames>
    <definedName function="false" hidden="true" localSheetId="1" name="_xlnm._FilterDatabase" vbProcedure="false">Nodes!$A$5:$O$105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Ngưỡng ±5% là giả định khởi tạo, cần hiệu chỉnh sau khi huấn luyện.</t>
        </r>
      </text>
    </comment>
    <comment ref="N38" authorId="0">
      <text>
        <r>
          <rPr>
            <sz val="10"/>
            <rFont val="Arial"/>
            <family val="2"/>
          </rPr>
          <t xml:space="preserve">Ví dụ: ETF BTC vào ròng 320 triệu USD → bậc 300 → M=0.5, D=+1. Xóa khi dùng thật.</t>
        </r>
      </text>
    </comment>
  </commentList>
</comments>
</file>

<file path=xl/sharedStrings.xml><?xml version="1.0" encoding="utf-8"?>
<sst xmlns="http://schemas.openxmlformats.org/spreadsheetml/2006/main" count="1037" uniqueCount="641">
  <si>
    <t xml:space="preserve">CÁCH DÙNG BẢNG NODE INFOTRADE</t>
  </si>
  <si>
    <t xml:space="preserve">Công thức mỗi node: Giá trị = W × M × D</t>
  </si>
  <si>
    <t xml:space="preserve">• W – trọng số (−1000 → 1000): chiều và độ lớn tác động. Dấu + = tin đẩy giá tăng, − = kéo giá giảm. Giá trị hiện tại là KHỞI TẠO (ước lượng chuyên gia), sẽ được thay bằng kết quả huấn luyện.</t>
  </si>
  <si>
    <t xml:space="preserve">• M – mức độ thông tin (0.01 → 1): tra theo 5 cột thang M của từng node. Có tin nhưng dưới bậc 0.1 → nhập 0.01. Có thể nội suy giữa 2 bậc.</t>
  </si>
  <si>
    <t xml:space="preserve">• D – hướng tin: +1 nếu tin đúng 'Chiều chuẩn', −1 nếu ngược chiều, 0 hoặc để trống nếu không có tin.</t>
  </si>
  <si>
    <t xml:space="preserve">  Ví dụ: CPI thấp hơn dự báo 0.2 điểm % → node 5: D = −1, M = 0.5 → Giá trị = −850 × 0.5 × −1 = +425 (tích cực).</t>
  </si>
  <si>
    <t xml:space="preserve">  Cột D được thêm vào để M luôn nằm trong 0.01–1 mà vẫn xử lý được tin hai chiều.</t>
  </si>
  <si>
    <t xml:space="preserve">Ô cần nhập (nền vàng, chữ xanh): cột M 'Hướng D' và cột N 'Mức độ M'. Cột L 'Trọng số W' cập nhật sau huấn luyện.</t>
  </si>
  <si>
    <t xml:space="preserve">Dòng node 33 có sẵn ví dụ (ETF vào 320 triệu USD → M=0.5, D=+1) – xóa trước khi dùng thật.</t>
  </si>
  <si>
    <t xml:space="preserve">Tổng hợp (sheet Nodes, góc trên):</t>
  </si>
  <si>
    <t xml:space="preserve">• Tổng điểm = Σ Giá trị 100 node. • Tín hiệu = Tổng điểm / Σ|W|. • Ngưỡng kết luận ±5% là giả định, cần hiệu chỉnh khi huấn luyện.</t>
  </si>
  <si>
    <t xml:space="preserve">Quy trình huấn luyện (bước tiếp theo):</t>
  </si>
  <si>
    <t xml:space="preserve">1. Lấy nến ngày BTC, lọc các cặp 2 phiên liên tiếp cùng chiều, tổng biến động ≥ 5%.</t>
  </si>
  <si>
    <t xml:space="preserve">2. Với mỗi mẫu, thu thập dữ liệu thật của ngày trước đó cho 100 node → chấm M và D theo thang.</t>
  </si>
  <si>
    <t xml:space="preserve">3. Tối ưu W (giới hạn −1000…1000) sao cho dấu tổng điểm khớp chiều 2 phiên sau; dùng regularization vì số mẫu ít.</t>
  </si>
  <si>
    <t xml:space="preserve">4. Kiểm tra trên tập mẫu tách riêng (walk-forward) trước khi tin dùng.</t>
  </si>
  <si>
    <t xml:space="preserve">Lưu ý: mô hình chấm điểm tham khảo, không bảo đảm dự đoán đúng giá, không phải khuyến nghị đầu tư.</t>
  </si>
  <si>
    <t xml:space="preserve">100 NODE INFOTRADE – DỰ BÁO BIẾN ĐỘNG GIÁ BTC NGÀY HÔM SAU</t>
  </si>
  <si>
    <t xml:space="preserve">Tổng điểm</t>
  </si>
  <si>
    <t xml:space="preserve">Tín hiệu (% tối đa)</t>
  </si>
  <si>
    <t xml:space="preserve">Điểm tối đa (Σ|W|)</t>
  </si>
  <si>
    <t xml:space="preserve">Kết luận</t>
  </si>
  <si>
    <t xml:space="preserve">ID</t>
  </si>
  <si>
    <t xml:space="preserve">Nhóm</t>
  </si>
  <si>
    <t xml:space="preserve">Tên node</t>
  </si>
  <si>
    <t xml:space="preserve">Chiều chuẩn (tin = hướng +1)</t>
  </si>
  <si>
    <t xml:space="preserve">Chỉ số đo</t>
  </si>
  <si>
    <t xml:space="preserve">Nguồn dữ liệu</t>
  </si>
  <si>
    <t xml:space="preserve">M = 0.1</t>
  </si>
  <si>
    <t xml:space="preserve">M = 0.3</t>
  </si>
  <si>
    <t xml:space="preserve">M = 0.5</t>
  </si>
  <si>
    <t xml:space="preserve">M = 0.75</t>
  </si>
  <si>
    <t xml:space="preserve">M = 1.0</t>
  </si>
  <si>
    <t xml:space="preserve">Trọng số W (khởi tạo)</t>
  </si>
  <si>
    <t xml:space="preserve">Hướng D (+1/0/−1)</t>
  </si>
  <si>
    <t xml:space="preserve">Mức độ M (0.01–1)</t>
  </si>
  <si>
    <t xml:space="preserve">Giá trị = W×M×D</t>
  </si>
  <si>
    <t xml:space="preserve">A. Vĩ mô Mỹ – Fed</t>
  </si>
  <si>
    <t xml:space="preserve">Quyết định lãi suất FOMC</t>
  </si>
  <si>
    <t xml:space="preserve">Lãi suất/thông điệp hawkish hơn kỳ vọng</t>
  </si>
  <si>
    <t xml:space="preserve">Chênh lệch so với kỳ vọng thị trường (bp)</t>
  </si>
  <si>
    <t xml:space="preserve">federalreserve.gov, CME FedWatch</t>
  </si>
  <si>
    <t xml:space="preserve">Đúng kỳ vọng, thông điệp lệch nhẹ</t>
  </si>
  <si>
    <t xml:space="preserve">Thông điệp lệch rõ</t>
  </si>
  <si>
    <t xml:space="preserve">Lệch 25bp so kỳ vọng</t>
  </si>
  <si>
    <t xml:space="preserve">Lệch 50bp</t>
  </si>
  <si>
    <t xml:space="preserve">≥75bp hoặc họp khẩn</t>
  </si>
  <si>
    <t xml:space="preserve">Dot plot / dự báo lãi suất Fed</t>
  </si>
  <si>
    <t xml:space="preserve">Dự báo ít lần cắt hơn lần trước</t>
  </si>
  <si>
    <t xml:space="preserve">Thay đổi trung vị lãi suất cuối năm (bp)</t>
  </si>
  <si>
    <t xml:space="preserve">federalreserve.gov (SEP)</t>
  </si>
  <si>
    <t xml:space="preserve">&lt;12.5</t>
  </si>
  <si>
    <t xml:space="preserve">12.5</t>
  </si>
  <si>
    <t xml:space="preserve">25</t>
  </si>
  <si>
    <t xml:space="preserve">50</t>
  </si>
  <si>
    <t xml:space="preserve">≥75</t>
  </si>
  <si>
    <t xml:space="preserve">Phát biểu Chủ tịch Fed</t>
  </si>
  <si>
    <t xml:space="preserve">Giọng điệu hawkish</t>
  </si>
  <si>
    <t xml:space="preserve">Đánh giá giọng điệu so với kỳ vọng</t>
  </si>
  <si>
    <t xml:space="preserve">federalreserve.gov, Reuters</t>
  </si>
  <si>
    <t xml:space="preserve">Lặp lại quan điểm cũ</t>
  </si>
  <si>
    <t xml:space="preserve">Nghiêng nhẹ</t>
  </si>
  <si>
    <t xml:space="preserve">Thay đổi giọng điệu rõ</t>
  </si>
  <si>
    <t xml:space="preserve">Gợi ý đổi chính sách</t>
  </si>
  <si>
    <t xml:space="preserve">Tuyên bố đổi chính sách bất ngờ</t>
  </si>
  <si>
    <t xml:space="preserve">Biên bản họp FOMC</t>
  </si>
  <si>
    <t xml:space="preserve">Biên bản hawkish hơn kỳ vọng</t>
  </si>
  <si>
    <t xml:space="preserve">Đánh giá giọng điệu</t>
  </si>
  <si>
    <t xml:space="preserve">federalreserve.gov</t>
  </si>
  <si>
    <t xml:space="preserve">CPI Mỹ</t>
  </si>
  <si>
    <t xml:space="preserve">CPI YoY cao hơn dự báo</t>
  </si>
  <si>
    <t xml:space="preserve">Thực tế − dự báo (điểm %)</t>
  </si>
  <si>
    <t xml:space="preserve">BLS, lịch kinh tế Investing.com</t>
  </si>
  <si>
    <t xml:space="preserve">0.05</t>
  </si>
  <si>
    <t xml:space="preserve">0.1</t>
  </si>
  <si>
    <t xml:space="preserve">0.2</t>
  </si>
  <si>
    <t xml:space="preserve">0.3</t>
  </si>
  <si>
    <t xml:space="preserve">≥0.4</t>
  </si>
  <si>
    <t xml:space="preserve">Core CPI</t>
  </si>
  <si>
    <t xml:space="preserve">Core CPI MoM cao hơn dự báo</t>
  </si>
  <si>
    <t xml:space="preserve">BLS</t>
  </si>
  <si>
    <t xml:space="preserve">0.15</t>
  </si>
  <si>
    <t xml:space="preserve">≥0.3</t>
  </si>
  <si>
    <t xml:space="preserve">PCE / Core PCE</t>
  </si>
  <si>
    <t xml:space="preserve">Core PCE cao hơn dự báo</t>
  </si>
  <si>
    <t xml:space="preserve">BEA</t>
  </si>
  <si>
    <t xml:space="preserve">PPI</t>
  </si>
  <si>
    <t xml:space="preserve">PPI cao hơn dự báo</t>
  </si>
  <si>
    <t xml:space="preserve">0.5</t>
  </si>
  <si>
    <t xml:space="preserve">≥0.7</t>
  </si>
  <si>
    <t xml:space="preserve">Bảng lương phi nông nghiệp (NFP)</t>
  </si>
  <si>
    <t xml:space="preserve">NFP cao hơn dự báo</t>
  </si>
  <si>
    <t xml:space="preserve">Thực tế − dự báo (nghìn việc làm)</t>
  </si>
  <si>
    <t xml:space="preserve">25k</t>
  </si>
  <si>
    <t xml:space="preserve">50k</t>
  </si>
  <si>
    <t xml:space="preserve">100k</t>
  </si>
  <si>
    <t xml:space="preserve">150k</t>
  </si>
  <si>
    <t xml:space="preserve">≥200k</t>
  </si>
  <si>
    <t xml:space="preserve">Tỷ lệ thất nghiệp Mỹ</t>
  </si>
  <si>
    <t xml:space="preserve">Thất nghiệp cao hơn dự báo</t>
  </si>
  <si>
    <t xml:space="preserve">≥0.4 / kích hoạt Sahm rule</t>
  </si>
  <si>
    <t xml:space="preserve">Đơn trợ cấp thất nghiệp hàng tuần</t>
  </si>
  <si>
    <t xml:space="preserve">Cao hơn dự báo</t>
  </si>
  <si>
    <t xml:space="preserve">Thực tế − dự báo (nghìn đơn)</t>
  </si>
  <si>
    <t xml:space="preserve">DOL</t>
  </si>
  <si>
    <t xml:space="preserve">5k</t>
  </si>
  <si>
    <t xml:space="preserve">10k</t>
  </si>
  <si>
    <t xml:space="preserve">20k</t>
  </si>
  <si>
    <t xml:space="preserve">30k</t>
  </si>
  <si>
    <t xml:space="preserve">≥40k</t>
  </si>
  <si>
    <t xml:space="preserve">GDP Mỹ</t>
  </si>
  <si>
    <t xml:space="preserve">GDP cao hơn dự báo</t>
  </si>
  <si>
    <t xml:space="preserve">0.4</t>
  </si>
  <si>
    <t xml:space="preserve">0.7</t>
  </si>
  <si>
    <t xml:space="preserve">1.0</t>
  </si>
  <si>
    <t xml:space="preserve">≥1.5</t>
  </si>
  <si>
    <t xml:space="preserve">PMI ISM sản xuất/dịch vụ</t>
  </si>
  <si>
    <t xml:space="preserve">PMI cao hơn dự báo</t>
  </si>
  <si>
    <t xml:space="preserve">Thực tế − dự báo (điểm)</t>
  </si>
  <si>
    <t xml:space="preserve">ISM</t>
  </si>
  <si>
    <t xml:space="preserve">1</t>
  </si>
  <si>
    <t xml:space="preserve">2</t>
  </si>
  <si>
    <t xml:space="preserve">3</t>
  </si>
  <si>
    <t xml:space="preserve">≥4</t>
  </si>
  <si>
    <t xml:space="preserve">Doanh số bán lẻ Mỹ</t>
  </si>
  <si>
    <t xml:space="preserve">Thực tế − dự báo MoM (điểm %)</t>
  </si>
  <si>
    <t xml:space="preserve">Census Bureau</t>
  </si>
  <si>
    <t xml:space="preserve">0.6</t>
  </si>
  <si>
    <t xml:space="preserve">Lợi suất trái phiếu Mỹ 10 năm</t>
  </si>
  <si>
    <t xml:space="preserve">Lợi suất 10Y tăng</t>
  </si>
  <si>
    <t xml:space="preserve">Thay đổi trong ngày (bp)</t>
  </si>
  <si>
    <t xml:space="preserve">FRED DGS10, CNBC</t>
  </si>
  <si>
    <t xml:space="preserve">6</t>
  </si>
  <si>
    <t xml:space="preserve">10</t>
  </si>
  <si>
    <t xml:space="preserve">15</t>
  </si>
  <si>
    <t xml:space="preserve">≥20</t>
  </si>
  <si>
    <t xml:space="preserve">Chênh lệch lợi suất 2Y–10Y</t>
  </si>
  <si>
    <t xml:space="preserve">Bull steepening (lợi suất ngắn hạn giảm)</t>
  </si>
  <si>
    <t xml:space="preserve">Thay đổi spread trong ngày (bp)</t>
  </si>
  <si>
    <t xml:space="preserve">FRED T10Y2Y</t>
  </si>
  <si>
    <t xml:space="preserve">Chỉ số DXY</t>
  </si>
  <si>
    <t xml:space="preserve">DXY tăng</t>
  </si>
  <si>
    <t xml:space="preserve">Thay đổi trong ngày (%)</t>
  </si>
  <si>
    <t xml:space="preserve">TradingView, Investing.com</t>
  </si>
  <si>
    <t xml:space="preserve">0.8</t>
  </si>
  <si>
    <t xml:space="preserve">≥1.2</t>
  </si>
  <si>
    <t xml:space="preserve">Bảng cân đối Fed (QT/QE)</t>
  </si>
  <si>
    <t xml:space="preserve">Mở rộng / chậm QT</t>
  </si>
  <si>
    <t xml:space="preserve">Thay đổi tuần hoặc thông báo</t>
  </si>
  <si>
    <t xml:space="preserve">FRED WALCL</t>
  </si>
  <si>
    <t xml:space="preserve">&lt;20 tỷ USD</t>
  </si>
  <si>
    <t xml:space="preserve">20–50 tỷ</t>
  </si>
  <si>
    <t xml:space="preserve">50–100 tỷ</t>
  </si>
  <si>
    <t xml:space="preserve">Thông báo giảm tốc QT</t>
  </si>
  <si>
    <t xml:space="preserve">Dừng QT / QE mới</t>
  </si>
  <si>
    <t xml:space="preserve">Thanh khoản ròng Fed (TGA, Reverse Repo)</t>
  </si>
  <si>
    <t xml:space="preserve">Thanh khoản ròng tăng</t>
  </si>
  <si>
    <t xml:space="preserve">WALCL − TGA − RRP, thay đổi tuần (tỷ USD)</t>
  </si>
  <si>
    <t xml:space="preserve">FRED WALCL, WTREGEN, RRPONTSYD</t>
  </si>
  <si>
    <t xml:space="preserve">100</t>
  </si>
  <si>
    <t xml:space="preserve">150</t>
  </si>
  <si>
    <t xml:space="preserve">≥200</t>
  </si>
  <si>
    <t xml:space="preserve">Xác suất lãi suất CME FedWatch</t>
  </si>
  <si>
    <t xml:space="preserve">Xác suất cắt lãi suất kỳ tới tăng</t>
  </si>
  <si>
    <t xml:space="preserve">Thay đổi xác suất trong ngày (điểm %)</t>
  </si>
  <si>
    <t xml:space="preserve">CME FedWatch</t>
  </si>
  <si>
    <t xml:space="preserve">5</t>
  </si>
  <si>
    <t xml:space="preserve">20</t>
  </si>
  <si>
    <t xml:space="preserve">35</t>
  </si>
  <si>
    <t xml:space="preserve">≥50</t>
  </si>
  <si>
    <t xml:space="preserve">B. Thị trường truyền thống</t>
  </si>
  <si>
    <t xml:space="preserve">S&amp;P 500</t>
  </si>
  <si>
    <t xml:space="preserve">Tăng</t>
  </si>
  <si>
    <t xml:space="preserve">Yahoo Finance</t>
  </si>
  <si>
    <t xml:space="preserve">1.5</t>
  </si>
  <si>
    <t xml:space="preserve">≥2.5</t>
  </si>
  <si>
    <t xml:space="preserve">Nasdaq</t>
  </si>
  <si>
    <t xml:space="preserve">1.3</t>
  </si>
  <si>
    <t xml:space="preserve">2.0</t>
  </si>
  <si>
    <t xml:space="preserve">≥3</t>
  </si>
  <si>
    <t xml:space="preserve">VIX</t>
  </si>
  <si>
    <t xml:space="preserve">VIX tăng</t>
  </si>
  <si>
    <t xml:space="preserve">CBOE, Yahoo Finance</t>
  </si>
  <si>
    <t xml:space="preserve">≥30</t>
  </si>
  <si>
    <t xml:space="preserve">Giá vàng</t>
  </si>
  <si>
    <t xml:space="preserve">Yahoo Finance (GC=F)</t>
  </si>
  <si>
    <t xml:space="preserve">Giá dầu WTI</t>
  </si>
  <si>
    <t xml:space="preserve">Tăng (áp lực lạm phát)</t>
  </si>
  <si>
    <t xml:space="preserve">Yahoo Finance (CL=F)</t>
  </si>
  <si>
    <t xml:space="preserve">≥8</t>
  </si>
  <si>
    <t xml:space="preserve">Kết quả kinh doanh Big Tech</t>
  </si>
  <si>
    <t xml:space="preserve">Vượt kỳ vọng</t>
  </si>
  <si>
    <t xml:space="preserve">Chênh EPS/guidance, phản ứng giá sau giờ</t>
  </si>
  <si>
    <t xml:space="preserve">Báo cáo công ty, Nasdaq.com</t>
  </si>
  <si>
    <t xml:space="preserve">Vượt EPS &lt;2%</t>
  </si>
  <si>
    <t xml:space="preserve">2–5%</t>
  </si>
  <si>
    <t xml:space="preserve">5–10% / guidance tốt</t>
  </si>
  <si>
    <t xml:space="preserve">≥10% + nâng guidance</t>
  </si>
  <si>
    <t xml:space="preserve">Bất ngờ lớn, cổ phiếu ±8% sau giờ</t>
  </si>
  <si>
    <t xml:space="preserve">Cổ phiếu crypto (MSTR, COIN)</t>
  </si>
  <si>
    <t xml:space="preserve">4</t>
  </si>
  <si>
    <t xml:space="preserve">7</t>
  </si>
  <si>
    <t xml:space="preserve">≥10</t>
  </si>
  <si>
    <t xml:space="preserve">USD/JPY (carry trade)</t>
  </si>
  <si>
    <t xml:space="preserve">JPY tăng mạnh (USD/JPY giảm)</t>
  </si>
  <si>
    <t xml:space="preserve">TradingView</t>
  </si>
  <si>
    <t xml:space="preserve">Chính sách BOJ</t>
  </si>
  <si>
    <t xml:space="preserve">Hawkish / tăng lãi suất</t>
  </si>
  <si>
    <t xml:space="preserve">Chênh lệch so kỳ vọng</t>
  </si>
  <si>
    <t xml:space="preserve">boj.or.jp</t>
  </si>
  <si>
    <t xml:space="preserve">Kích thích kinh tế / PBoC Trung Quốc</t>
  </si>
  <si>
    <t xml:space="preserve">Công bố kích thích</t>
  </si>
  <si>
    <t xml:space="preserve">Quy mô biện pháp</t>
  </si>
  <si>
    <t xml:space="preserve">PBoC, Reuters</t>
  </si>
  <si>
    <t xml:space="preserve">Tín hiệu chung</t>
  </si>
  <si>
    <t xml:space="preserve">Biện pháp nhỏ</t>
  </si>
  <si>
    <t xml:space="preserve">Hạ lãi suất/RRR</t>
  </si>
  <si>
    <t xml:space="preserve">Gói &gt;500 tỷ CNY</t>
  </si>
  <si>
    <t xml:space="preserve">Gói đồng bộ lớn chưa từng có</t>
  </si>
  <si>
    <t xml:space="preserve">Lãi suất ECB</t>
  </si>
  <si>
    <t xml:space="preserve">Hawkish hơn kỳ vọng</t>
  </si>
  <si>
    <t xml:space="preserve">ecb.europa.eu</t>
  </si>
  <si>
    <t xml:space="preserve">Cung tiền M2 toàn cầu</t>
  </si>
  <si>
    <t xml:space="preserve">M2 tăng</t>
  </si>
  <si>
    <t xml:space="preserve">Thay đổi tháng (%)</t>
  </si>
  <si>
    <t xml:space="preserve">FRED, TradingView (GM2)</t>
  </si>
  <si>
    <t xml:space="preserve">≥2</t>
  </si>
  <si>
    <t xml:space="preserve">C. Dòng tiền tổ chức</t>
  </si>
  <si>
    <t xml:space="preserve">Dòng tiền ròng ETF BTC spot Mỹ</t>
  </si>
  <si>
    <t xml:space="preserve">Dòng vào ròng</t>
  </si>
  <si>
    <t xml:space="preserve">Dòng tiền ròng ngày (triệu USD)</t>
  </si>
  <si>
    <t xml:space="preserve">Farside Investors, SoSoValue</t>
  </si>
  <si>
    <t xml:space="preserve">300</t>
  </si>
  <si>
    <t xml:space="preserve">600</t>
  </si>
  <si>
    <t xml:space="preserve">≥1000</t>
  </si>
  <si>
    <t xml:space="preserve">Dòng tiền ETF ETH</t>
  </si>
  <si>
    <t xml:space="preserve">Farside, SoSoValue</t>
  </si>
  <si>
    <t xml:space="preserve">250</t>
  </si>
  <si>
    <t xml:space="preserve">≥500</t>
  </si>
  <si>
    <t xml:space="preserve">Coinbase Premium</t>
  </si>
  <si>
    <t xml:space="preserve">Premium dương</t>
  </si>
  <si>
    <t xml:space="preserve">Premium Coinbase so Binance (%)</t>
  </si>
  <si>
    <t xml:space="preserve">CryptoQuant</t>
  </si>
  <si>
    <t xml:space="preserve">0.02</t>
  </si>
  <si>
    <t xml:space="preserve">Doanh nghiệp mua/bán BTC</t>
  </si>
  <si>
    <t xml:space="preserve">Công bố mua</t>
  </si>
  <si>
    <t xml:space="preserve">Số BTC mua (bán → hướng −1)</t>
  </si>
  <si>
    <t xml:space="preserve">SEC 8-K, bitcointreasuries.net</t>
  </si>
  <si>
    <t xml:space="preserve">500</t>
  </si>
  <si>
    <t xml:space="preserve">2k</t>
  </si>
  <si>
    <t xml:space="preserve">≥20k</t>
  </si>
  <si>
    <t xml:space="preserve">Quỹ / tổ chức công bố nắm giữ BTC</t>
  </si>
  <si>
    <t xml:space="preserve">Công bố mua / nắm giữ mới</t>
  </si>
  <si>
    <t xml:space="preserve">Quy mô tổ chức</t>
  </si>
  <si>
    <t xml:space="preserve">13F (SEC), Reuters</t>
  </si>
  <si>
    <t xml:space="preserve">Quỹ nhỏ</t>
  </si>
  <si>
    <t xml:space="preserve">Quỹ vừa</t>
  </si>
  <si>
    <t xml:space="preserve">Quỹ lớn / 13F lớn</t>
  </si>
  <si>
    <t xml:space="preserve">Quỹ hưu trí / quỹ chủ quyền</t>
  </si>
  <si>
    <t xml:space="preserve">Tổ chức hàng đầu toàn cầu</t>
  </si>
  <si>
    <t xml:space="preserve">Premium/discount quỹ BTC</t>
  </si>
  <si>
    <t xml:space="preserve">Premium tăng</t>
  </si>
  <si>
    <t xml:space="preserve">Thay đổi premium (điểm %)</t>
  </si>
  <si>
    <t xml:space="preserve">YCharts, quỹ công bố</t>
  </si>
  <si>
    <t xml:space="preserve">≥6</t>
  </si>
  <si>
    <t xml:space="preserve">Nguồn cung USDT</t>
  </si>
  <si>
    <t xml:space="preserve">Thay đổi ngày (tỷ USD)</t>
  </si>
  <si>
    <t xml:space="preserve">DefiLlama, Tether transparency</t>
  </si>
  <si>
    <t xml:space="preserve">Nguồn cung USDC</t>
  </si>
  <si>
    <t xml:space="preserve">DefiLlama, Circle</t>
  </si>
  <si>
    <t xml:space="preserve">Mint/burn stablecoin lớn</t>
  </si>
  <si>
    <t xml:space="preserve">Mint</t>
  </si>
  <si>
    <t xml:space="preserve">Quy mô lô (triệu USD)</t>
  </si>
  <si>
    <t xml:space="preserve">Whale Alert</t>
  </si>
  <si>
    <t xml:space="preserve">1000</t>
  </si>
  <si>
    <t xml:space="preserve">≥2000</t>
  </si>
  <si>
    <t xml:space="preserve">Báo cáo dòng vốn CoinShares</t>
  </si>
  <si>
    <t xml:space="preserve">Dòng vào</t>
  </si>
  <si>
    <t xml:space="preserve">Dòng vốn tuần vào sản phẩm BTC (triệu USD)</t>
  </si>
  <si>
    <t xml:space="preserve">CoinShares Fund Flows</t>
  </si>
  <si>
    <t xml:space="preserve">400</t>
  </si>
  <si>
    <t xml:space="preserve">800</t>
  </si>
  <si>
    <t xml:space="preserve">≥1500</t>
  </si>
  <si>
    <t xml:space="preserve">Open interest futures CME</t>
  </si>
  <si>
    <t xml:space="preserve">OI tăng</t>
  </si>
  <si>
    <t xml:space="preserve">Thay đổi ngày (%)</t>
  </si>
  <si>
    <t xml:space="preserve">CME, Coinglass</t>
  </si>
  <si>
    <t xml:space="preserve">≥15</t>
  </si>
  <si>
    <t xml:space="preserve">Kimchi premium</t>
  </si>
  <si>
    <t xml:space="preserve">Mức premium (%)</t>
  </si>
  <si>
    <t xml:space="preserve">D. Phái sinh</t>
  </si>
  <si>
    <t xml:space="preserve">Funding rate</t>
  </si>
  <si>
    <t xml:space="preserve">Funding dương cao (đông long)</t>
  </si>
  <si>
    <t xml:space="preserve">Funding trung bình (%/8h)</t>
  </si>
  <si>
    <t xml:space="preserve">Coinglass</t>
  </si>
  <si>
    <t xml:space="preserve">0.01</t>
  </si>
  <si>
    <t xml:space="preserve">0.04</t>
  </si>
  <si>
    <t xml:space="preserve">0.07</t>
  </si>
  <si>
    <t xml:space="preserve">≥0.1</t>
  </si>
  <si>
    <t xml:space="preserve">Open interest BTC toàn sàn</t>
  </si>
  <si>
    <t xml:space="preserve">OI tăng mạnh</t>
  </si>
  <si>
    <t xml:space="preserve">Thanh lý long</t>
  </si>
  <si>
    <t xml:space="preserve">Thanh lý long lớn</t>
  </si>
  <si>
    <t xml:space="preserve">Tổng thanh lý long 24h (triệu USD)</t>
  </si>
  <si>
    <t xml:space="preserve">Thanh lý short</t>
  </si>
  <si>
    <t xml:space="preserve">Thanh lý short lớn</t>
  </si>
  <si>
    <t xml:space="preserve">Tổng thanh lý short 24h (triệu USD)</t>
  </si>
  <si>
    <t xml:space="preserve">Tỷ lệ long/short</t>
  </si>
  <si>
    <t xml:space="preserve">Tỷ lệ long cao</t>
  </si>
  <si>
    <t xml:space="preserve">Long/short ratio tài khoản</t>
  </si>
  <si>
    <t xml:space="preserve">Coinglass, Binance</t>
  </si>
  <si>
    <t xml:space="preserve">1.2</t>
  </si>
  <si>
    <t xml:space="preserve">2.5</t>
  </si>
  <si>
    <t xml:space="preserve">Quyền chọn đáo hạn (max pain)</t>
  </si>
  <si>
    <t xml:space="preserve">Giá cao hơn max pain (bị kéo về)</t>
  </si>
  <si>
    <t xml:space="preserve">Giá trị đáo hạn và khoảng cách tới max pain</t>
  </si>
  <si>
    <t xml:space="preserve">Deribit, Coinglass</t>
  </si>
  <si>
    <t xml:space="preserve">&lt;1 tỷ USD</t>
  </si>
  <si>
    <t xml:space="preserve">1–3 tỷ</t>
  </si>
  <si>
    <t xml:space="preserve">3–5 tỷ</t>
  </si>
  <si>
    <t xml:space="preserve">5–10 tỷ</t>
  </si>
  <si>
    <t xml:space="preserve">≥10 tỷ và lệch &gt;5%</t>
  </si>
  <si>
    <t xml:space="preserve">Put/Call ratio</t>
  </si>
  <si>
    <t xml:space="preserve">P/C tăng (phòng hộ giảm)</t>
  </si>
  <si>
    <t xml:space="preserve">Put/Call ratio theo OI</t>
  </si>
  <si>
    <t xml:space="preserve">Deribit</t>
  </si>
  <si>
    <t xml:space="preserve">Implied volatility (DVOL)</t>
  </si>
  <si>
    <t xml:space="preserve">IV tăng mạnh</t>
  </si>
  <si>
    <t xml:space="preserve">Thay đổi DVOL trong ngày (điểm)</t>
  </si>
  <si>
    <t xml:space="preserve">Deribit DVOL</t>
  </si>
  <si>
    <t xml:space="preserve">Basis futures</t>
  </si>
  <si>
    <t xml:space="preserve">Basis tăng</t>
  </si>
  <si>
    <t xml:space="preserve">Basis quy năm (%)</t>
  </si>
  <si>
    <t xml:space="preserve">Coinglass, Laevitas</t>
  </si>
  <si>
    <t xml:space="preserve">8</t>
  </si>
  <si>
    <t xml:space="preserve">Vùng thanh lý tập trung</t>
  </si>
  <si>
    <t xml:space="preserve">Cụm thanh lý short lớn phía trên gần giá</t>
  </si>
  <si>
    <t xml:space="preserve">Quy mô cụm và khoảng cách</t>
  </si>
  <si>
    <t xml:space="preserve">Coinglass Liquidation Heatmap</t>
  </si>
  <si>
    <t xml:space="preserve">Cụm nhỏ, xa &gt;5%</t>
  </si>
  <si>
    <t xml:space="preserve">Cụm vừa, 3–5%</t>
  </si>
  <si>
    <t xml:space="preserve">Cụm lớn, 3–5%</t>
  </si>
  <si>
    <t xml:space="preserve">Cụm lớn, &lt;3%</t>
  </si>
  <si>
    <t xml:space="preserve">Cụm &gt;1 tỷ USD trong 2%</t>
  </si>
  <si>
    <t xml:space="preserve">Skew quyền chọn 25-delta</t>
  </si>
  <si>
    <t xml:space="preserve">Call đắt hơn put</t>
  </si>
  <si>
    <t xml:space="preserve">Skew 25-delta (điểm vol)</t>
  </si>
  <si>
    <t xml:space="preserve">Deribit, Laevitas</t>
  </si>
  <si>
    <t xml:space="preserve">Khối lượng giao dịch spot</t>
  </si>
  <si>
    <t xml:space="preserve">Khối lượng tăng (hướng = chiều nến)</t>
  </si>
  <si>
    <t xml:space="preserve">% so trung bình 20 phiên</t>
  </si>
  <si>
    <t xml:space="preserve">CoinGecko, Binance</t>
  </si>
  <si>
    <t xml:space="preserve">+20%</t>
  </si>
  <si>
    <t xml:space="preserve">+50%</t>
  </si>
  <si>
    <t xml:space="preserve">+100%</t>
  </si>
  <si>
    <t xml:space="preserve">+150%</t>
  </si>
  <si>
    <t xml:space="preserve">≥+200%</t>
  </si>
  <si>
    <t xml:space="preserve">E. On-chain</t>
  </si>
  <si>
    <t xml:space="preserve">BTC nạp vào sàn</t>
  </si>
  <si>
    <t xml:space="preserve">Nạp lớn</t>
  </si>
  <si>
    <t xml:space="preserve">% vượt trung bình 30 ngày</t>
  </si>
  <si>
    <t xml:space="preserve">CryptoQuant, Glassnode</t>
  </si>
  <si>
    <t xml:space="preserve">+200%</t>
  </si>
  <si>
    <t xml:space="preserve">≥+300%</t>
  </si>
  <si>
    <t xml:space="preserve">BTC rút khỏi sàn</t>
  </si>
  <si>
    <t xml:space="preserve">Rút lớn</t>
  </si>
  <si>
    <t xml:space="preserve">Dự trữ BTC trên sàn</t>
  </si>
  <si>
    <t xml:space="preserve">Dự trữ giảm</t>
  </si>
  <si>
    <t xml:space="preserve">Thay đổi ngày (BTC)</t>
  </si>
  <si>
    <t xml:space="preserve">≥30k</t>
  </si>
  <si>
    <t xml:space="preserve">Cá voi chuyển trên 1.000 BTC</t>
  </si>
  <si>
    <t xml:space="preserve">Cá voi chuyển lên sàn</t>
  </si>
  <si>
    <t xml:space="preserve">Khối lượng chuyển (BTC)</t>
  </si>
  <si>
    <t xml:space="preserve">Whale Alert, Arkham</t>
  </si>
  <si>
    <t xml:space="preserve">1k</t>
  </si>
  <si>
    <t xml:space="preserve">3k</t>
  </si>
  <si>
    <t xml:space="preserve">Thợ đào chuyển BTC lên sàn</t>
  </si>
  <si>
    <t xml:space="preserve">Chuyển lên sàn</t>
  </si>
  <si>
    <t xml:space="preserve">Khối lượng ngày (BTC)</t>
  </si>
  <si>
    <t xml:space="preserve">Hashrate</t>
  </si>
  <si>
    <t xml:space="preserve">Thay đổi 7 ngày (%)</t>
  </si>
  <si>
    <t xml:space="preserve">mempool.space, Blockchain.com</t>
  </si>
  <si>
    <t xml:space="preserve">Điều chỉnh độ khó khai thác</t>
  </si>
  <si>
    <t xml:space="preserve">Mức điều chỉnh (%)</t>
  </si>
  <si>
    <t xml:space="preserve">mempool.space</t>
  </si>
  <si>
    <t xml:space="preserve">Hash ribbons</t>
  </si>
  <si>
    <t xml:space="preserve">Tín hiệu mua (hồi phục sau đầu hàng)</t>
  </si>
  <si>
    <t xml:space="preserve">Trạng thái MA30/MA60 hashrate</t>
  </si>
  <si>
    <t xml:space="preserve">Glassnode, TradingView</t>
  </si>
  <si>
    <t xml:space="preserve">MA30 sắp cắt lên</t>
  </si>
  <si>
    <t xml:space="preserve">Vừa cắt lên</t>
  </si>
  <si>
    <t xml:space="preserve">Cắt lên + hashrate hồi</t>
  </si>
  <si>
    <t xml:space="preserve">Cắt lên + giá xác nhận</t>
  </si>
  <si>
    <t xml:space="preserve">Tín hiệu mua đầy đủ sau đợt đầu hàng sâu</t>
  </si>
  <si>
    <t xml:space="preserve">MVRV</t>
  </si>
  <si>
    <t xml:space="preserve">MVRV cao (quá mua)</t>
  </si>
  <si>
    <t xml:space="preserve">MVRV Z-score</t>
  </si>
  <si>
    <t xml:space="preserve">Glassnode, LookIntoBitcoin</t>
  </si>
  <si>
    <t xml:space="preserve">≥7</t>
  </si>
  <si>
    <t xml:space="preserve">SOPR</t>
  </si>
  <si>
    <t xml:space="preserve">SOPR &lt; 1 (bán lỗ, đầu hàng)</t>
  </si>
  <si>
    <t xml:space="preserve">Giá trị SOPR</t>
  </si>
  <si>
    <t xml:space="preserve">Glassnode, CryptoQuant</t>
  </si>
  <si>
    <t xml:space="preserve">0.99</t>
  </si>
  <si>
    <t xml:space="preserve">0.98</t>
  </si>
  <si>
    <t xml:space="preserve">0.97</t>
  </si>
  <si>
    <t xml:space="preserve">0.95</t>
  </si>
  <si>
    <t xml:space="preserve">≤0.93</t>
  </si>
  <si>
    <t xml:space="preserve">NUPL</t>
  </si>
  <si>
    <t xml:space="preserve">NUPL cao (hưng phấn)</t>
  </si>
  <si>
    <t xml:space="preserve">Giá trị NUPL</t>
  </si>
  <si>
    <t xml:space="preserve">Glassnode</t>
  </si>
  <si>
    <t xml:space="preserve">0.55</t>
  </si>
  <si>
    <t xml:space="preserve">≥0.75</t>
  </si>
  <si>
    <t xml:space="preserve">Holder dài hạn (LTH) bán ra</t>
  </si>
  <si>
    <t xml:space="preserve">LTH bán</t>
  </si>
  <si>
    <t xml:space="preserve">Lượng giảm nắm giữ LTH/ngày (BTC)</t>
  </si>
  <si>
    <t xml:space="preserve">40k</t>
  </si>
  <si>
    <t xml:space="preserve">≥60k</t>
  </si>
  <si>
    <t xml:space="preserve">Ví ngủ đông lâu năm hoạt động lại</t>
  </si>
  <si>
    <t xml:space="preserve">Coin &gt;5 năm di chuyển</t>
  </si>
  <si>
    <t xml:space="preserve">Khối lượng (BTC)</t>
  </si>
  <si>
    <t xml:space="preserve">Glassnode, Whale Alert</t>
  </si>
  <si>
    <t xml:space="preserve">Số địa chỉ hoạt động</t>
  </si>
  <si>
    <t xml:space="preserve">% so trung bình 30 ngày</t>
  </si>
  <si>
    <t xml:space="preserve">Glassnode, Blockchain.com</t>
  </si>
  <si>
    <t xml:space="preserve">30</t>
  </si>
  <si>
    <t xml:space="preserve">Phí giao dịch / mempool</t>
  </si>
  <si>
    <t xml:space="preserve">Phí tăng</t>
  </si>
  <si>
    <t xml:space="preserve">200</t>
  </si>
  <si>
    <t xml:space="preserve">≥300</t>
  </si>
  <si>
    <t xml:space="preserve">Ví chính phủ chuyển BTC</t>
  </si>
  <si>
    <t xml:space="preserve">Chuyển (khả năng bán)</t>
  </si>
  <si>
    <t xml:space="preserve">Khối lượng (BTC); vào sàn → tăng 1 bậc</t>
  </si>
  <si>
    <t xml:space="preserve">Arkham</t>
  </si>
  <si>
    <t xml:space="preserve">F. Pháp lý &amp; chính trị</t>
  </si>
  <si>
    <t xml:space="preserve">Quyết định / vụ kiện của SEC</t>
  </si>
  <si>
    <t xml:space="preserve">Động thái có lợi cho crypto</t>
  </si>
  <si>
    <t xml:space="preserve">Mức độ tác động</t>
  </si>
  <si>
    <t xml:space="preserve">sec.gov, Reuters</t>
  </si>
  <si>
    <t xml:space="preserve">Phát biểu</t>
  </si>
  <si>
    <t xml:space="preserve">Hướng dẫn mới</t>
  </si>
  <si>
    <t xml:space="preserve">Rút vụ kiện nhỏ</t>
  </si>
  <si>
    <t xml:space="preserve">Phê duyệt sản phẩm lớn</t>
  </si>
  <si>
    <t xml:space="preserve">Thay đổi khung pháp lý lớn</t>
  </si>
  <si>
    <t xml:space="preserve">Luật crypto Mỹ</t>
  </si>
  <si>
    <t xml:space="preserve">Luật có lợi tiến triển</t>
  </si>
  <si>
    <t xml:space="preserve">Giai đoạn lập pháp</t>
  </si>
  <si>
    <t xml:space="preserve">congress.gov</t>
  </si>
  <si>
    <t xml:space="preserve">Đề xuất</t>
  </si>
  <si>
    <t xml:space="preserve">Qua ủy ban</t>
  </si>
  <si>
    <t xml:space="preserve">Qua 1 viện</t>
  </si>
  <si>
    <t xml:space="preserve">Qua 2 viện</t>
  </si>
  <si>
    <t xml:space="preserve">Ký thành luật</t>
  </si>
  <si>
    <t xml:space="preserve">Dự trữ BTC chiến lược quốc gia</t>
  </si>
  <si>
    <t xml:space="preserve">Có tiến triển</t>
  </si>
  <si>
    <t xml:space="preserve">Cấp độ</t>
  </si>
  <si>
    <t xml:space="preserve">Reuters, whitehouse.gov</t>
  </si>
  <si>
    <t xml:space="preserve">Đề xuất cấp bang</t>
  </si>
  <si>
    <t xml:space="preserve">Bang thông qua</t>
  </si>
  <si>
    <t xml:space="preserve">Quốc gia nhỏ thực hiện</t>
  </si>
  <si>
    <t xml:space="preserve">Liên bang Mỹ hành động</t>
  </si>
  <si>
    <t xml:space="preserve">Cường quốc mua BTC trên thị trường</t>
  </si>
  <si>
    <t xml:space="preserve">Phát ngôn Tổng thống Mỹ về crypto</t>
  </si>
  <si>
    <t xml:space="preserve">Ủng hộ crypto</t>
  </si>
  <si>
    <t xml:space="preserve">Mức cam kết</t>
  </si>
  <si>
    <t xml:space="preserve">whitehouse.gov, Truth Social, X</t>
  </si>
  <si>
    <t xml:space="preserve">Nhắc tới</t>
  </si>
  <si>
    <t xml:space="preserve">Ủng hộ chung</t>
  </si>
  <si>
    <t xml:space="preserve">Cam kết cụ thể</t>
  </si>
  <si>
    <t xml:space="preserve">Ký sắc lệnh</t>
  </si>
  <si>
    <t xml:space="preserve">Sắc lệnh lớn trực tiếp về BTC</t>
  </si>
  <si>
    <t xml:space="preserve">Thuế quan / chiến tranh thương mại</t>
  </si>
  <si>
    <t xml:space="preserve">Leo thang</t>
  </si>
  <si>
    <t xml:space="preserve">Mức độ</t>
  </si>
  <si>
    <t xml:space="preserve">Reuters, USTR</t>
  </si>
  <si>
    <t xml:space="preserve">Đe dọa</t>
  </si>
  <si>
    <t xml:space="preserve">Công bố nhỏ</t>
  </si>
  <si>
    <t xml:space="preserve">Thuế ≥10% với đối tác lớn</t>
  </si>
  <si>
    <t xml:space="preserve">Trả đũa qua lại</t>
  </si>
  <si>
    <t xml:space="preserve">Thuế diện rộng bất ngờ</t>
  </si>
  <si>
    <t xml:space="preserve">Trung Quốc cấm / siết crypto</t>
  </si>
  <si>
    <t xml:space="preserve">Siết chặt</t>
  </si>
  <si>
    <t xml:space="preserve">Reuters, SCMP</t>
  </si>
  <si>
    <t xml:space="preserve">Phát biểu cảnh báo</t>
  </si>
  <si>
    <t xml:space="preserve">Hướng dẫn địa phương</t>
  </si>
  <si>
    <t xml:space="preserve">Quy định mới</t>
  </si>
  <si>
    <t xml:space="preserve">Cấm diện rộng</t>
  </si>
  <si>
    <t xml:space="preserve">Cấm toàn diện / truy quét</t>
  </si>
  <si>
    <t xml:space="preserve">Quy định MiCA châu Âu</t>
  </si>
  <si>
    <t xml:space="preserve">Có lợi cho crypto</t>
  </si>
  <si>
    <t xml:space="preserve">ESMA, EU Official Journal</t>
  </si>
  <si>
    <t xml:space="preserve">Tham vấn</t>
  </si>
  <si>
    <t xml:space="preserve">Dự thảo</t>
  </si>
  <si>
    <t xml:space="preserve">Hướng dẫn chính thức</t>
  </si>
  <si>
    <t xml:space="preserve">Cấp phép sàn/sản phẩm lớn</t>
  </si>
  <si>
    <t xml:space="preserve">Thay đổi lớn có lợi</t>
  </si>
  <si>
    <t xml:space="preserve">Quốc gia hợp pháp hóa BTC</t>
  </si>
  <si>
    <t xml:space="preserve">Hợp pháp hóa</t>
  </si>
  <si>
    <t xml:space="preserve">Quy mô quốc gia</t>
  </si>
  <si>
    <t xml:space="preserve">Reuters</t>
  </si>
  <si>
    <t xml:space="preserve">Nước nhỏ đề xuất</t>
  </si>
  <si>
    <t xml:space="preserve">Nước nhỏ thông qua</t>
  </si>
  <si>
    <t xml:space="preserve">Nước vừa</t>
  </si>
  <si>
    <t xml:space="preserve">Nền kinh tế lớn đề xuất</t>
  </si>
  <si>
    <t xml:space="preserve">Nền kinh tế G20 thông qua</t>
  </si>
  <si>
    <t xml:space="preserve">Bầu cử / sự kiện chính trị lớn</t>
  </si>
  <si>
    <t xml:space="preserve">Kết quả nghiêng về phía ủng hộ crypto</t>
  </si>
  <si>
    <t xml:space="preserve">Thay đổi xác suất (điểm %) trên Polymarket</t>
  </si>
  <si>
    <t xml:space="preserve">Polymarket, Reuters</t>
  </si>
  <si>
    <t xml:space="preserve">Kết quả chính thức</t>
  </si>
  <si>
    <t xml:space="preserve">Căng thẳng địa chính trị / chiến tranh</t>
  </si>
  <si>
    <t xml:space="preserve">Reuters, AP</t>
  </si>
  <si>
    <t xml:space="preserve">Căng thẳng lời nói</t>
  </si>
  <si>
    <t xml:space="preserve">Trừng phạt</t>
  </si>
  <si>
    <t xml:space="preserve">Đụng độ hạn chế</t>
  </si>
  <si>
    <t xml:space="preserve">Tấn công quy mô lớn</t>
  </si>
  <si>
    <t xml:space="preserve">Chiến tranh cường quốc / phong tỏa eo biển</t>
  </si>
  <si>
    <t xml:space="preserve">Shutdown chính phủ Mỹ / trần nợ</t>
  </si>
  <si>
    <t xml:space="preserve">Rủi ro tăng</t>
  </si>
  <si>
    <t xml:space="preserve">Reuters, congress.gov</t>
  </si>
  <si>
    <t xml:space="preserve">Tranh cãi</t>
  </si>
  <si>
    <t xml:space="preserve">Hạn chót cận kề</t>
  </si>
  <si>
    <t xml:space="preserve">Shutdown bắt đầu</t>
  </si>
  <si>
    <t xml:space="preserve">Shutdown kéo dài</t>
  </si>
  <si>
    <t xml:space="preserve">Nguy cơ vỡ nợ</t>
  </si>
  <si>
    <t xml:space="preserve">Chính sách thuế crypto</t>
  </si>
  <si>
    <t xml:space="preserve">Thắt chặt thuế</t>
  </si>
  <si>
    <t xml:space="preserve">IRS, Reuters</t>
  </si>
  <si>
    <t xml:space="preserve">Thông qua ở nước nhỏ</t>
  </si>
  <si>
    <t xml:space="preserve">Thông qua ở nền kinh tế lớn</t>
  </si>
  <si>
    <t xml:space="preserve">Thuế mới diện rộng tại Mỹ</t>
  </si>
  <si>
    <t xml:space="preserve">G. Sự kiện ngành</t>
  </si>
  <si>
    <t xml:space="preserve">Sàn bị hack</t>
  </si>
  <si>
    <t xml:space="preserve">Bị hack</t>
  </si>
  <si>
    <t xml:space="preserve">Thiệt hại (triệu USD)</t>
  </si>
  <si>
    <t xml:space="preserve">Rekt.news, PeckShield</t>
  </si>
  <si>
    <t xml:space="preserve">Sàn phá sản / mất thanh khoản</t>
  </si>
  <si>
    <t xml:space="preserve">Có sự kiện</t>
  </si>
  <si>
    <t xml:space="preserve">Quy mô sàn</t>
  </si>
  <si>
    <t xml:space="preserve">Reuters, CoinDesk</t>
  </si>
  <si>
    <t xml:space="preserve">Tin đồn sàn nhỏ</t>
  </si>
  <si>
    <t xml:space="preserve">Sàn nhỏ dừng rút</t>
  </si>
  <si>
    <t xml:space="preserve">Sàn vừa</t>
  </si>
  <si>
    <t xml:space="preserve">Sàn top 20</t>
  </si>
  <si>
    <t xml:space="preserve">Sàn top 5</t>
  </si>
  <si>
    <t xml:space="preserve">Stablecoin mất peg</t>
  </si>
  <si>
    <t xml:space="preserve">Mất peg</t>
  </si>
  <si>
    <t xml:space="preserve">Mức lệch (%)</t>
  </si>
  <si>
    <t xml:space="preserve">CoinGecko, Curve</t>
  </si>
  <si>
    <t xml:space="preserve">≥5 hoặc USDT/USDC</t>
  </si>
  <si>
    <t xml:space="preserve">Mt.Gox / FTX trả coin cho chủ nợ</t>
  </si>
  <si>
    <t xml:space="preserve">Chuyển / trả coin</t>
  </si>
  <si>
    <t xml:space="preserve">Arkham, thông báo tòa</t>
  </si>
  <si>
    <t xml:space="preserve">≥50k</t>
  </si>
  <si>
    <t xml:space="preserve">Chu kỳ halving</t>
  </si>
  <si>
    <t xml:space="preserve">Gần halving</t>
  </si>
  <si>
    <t xml:space="preserve">Số ngày còn lại</t>
  </si>
  <si>
    <t xml:space="preserve">180</t>
  </si>
  <si>
    <t xml:space="preserve">90</t>
  </si>
  <si>
    <t xml:space="preserve">Ngày halving</t>
  </si>
  <si>
    <t xml:space="preserve">Ra mắt sản phẩm mới (ETF, options)</t>
  </si>
  <si>
    <t xml:space="preserve">Ra mắt / được duyệt</t>
  </si>
  <si>
    <t xml:space="preserve">SEC, Bloomberg</t>
  </si>
  <si>
    <t xml:space="preserve">Nộp hồ sơ</t>
  </si>
  <si>
    <t xml:space="preserve">Được xem xét</t>
  </si>
  <si>
    <t xml:space="preserve">Được duyệt sản phẩm nhỏ</t>
  </si>
  <si>
    <t xml:space="preserve">Ra mắt sản phẩm lớn</t>
  </si>
  <si>
    <t xml:space="preserve">Sản phẩm mới đầu tiên ở thị trường lớn</t>
  </si>
  <si>
    <t xml:space="preserve">Ngân hàng lớn tham gia crypto</t>
  </si>
  <si>
    <t xml:space="preserve">Tham gia</t>
  </si>
  <si>
    <t xml:space="preserve">Quy mô ngân hàng</t>
  </si>
  <si>
    <t xml:space="preserve">Reuters, Bloomberg</t>
  </si>
  <si>
    <t xml:space="preserve">Ngân hàng nhỏ</t>
  </si>
  <si>
    <t xml:space="preserve">Ngân hàng khu vực</t>
  </si>
  <si>
    <t xml:space="preserve">Ngân hàng lớn thử nghiệm</t>
  </si>
  <si>
    <t xml:space="preserve">Ngân hàng lớn triển khai</t>
  </si>
  <si>
    <t xml:space="preserve">Top 5 toàn cầu mở dịch vụ BTC</t>
  </si>
  <si>
    <t xml:space="preserve">Biến động mạnh của ETH / altcoin lớn</t>
  </si>
  <si>
    <t xml:space="preserve">ETH tăng</t>
  </si>
  <si>
    <t xml:space="preserve">CoinGecko</t>
  </si>
  <si>
    <t xml:space="preserve">Lỗ hổng / sự cố mạng Bitcoin</t>
  </si>
  <si>
    <t xml:space="preserve">Có sự cố</t>
  </si>
  <si>
    <t xml:space="preserve">Mức nghiêm trọng</t>
  </si>
  <si>
    <t xml:space="preserve">bitcoincore.org, GitHub</t>
  </si>
  <si>
    <t xml:space="preserve">Tranh luận lý thuyết</t>
  </si>
  <si>
    <t xml:space="preserve">Lỗi phần mềm nhỏ</t>
  </si>
  <si>
    <t xml:space="preserve">Lỗi node đã vá</t>
  </si>
  <si>
    <t xml:space="preserve">Lỗ hổng nghiêm trọng</t>
  </si>
  <si>
    <t xml:space="preserve">Sự cố đồng thuận / fork ngoài kế hoạch</t>
  </si>
  <si>
    <t xml:space="preserve">Doanh nghiệp thanh toán chấp nhận BTC</t>
  </si>
  <si>
    <t xml:space="preserve">Chấp nhận</t>
  </si>
  <si>
    <t xml:space="preserve">Quy mô doanh nghiệp</t>
  </si>
  <si>
    <t xml:space="preserve">Doanh nghiệp nhỏ</t>
  </si>
  <si>
    <t xml:space="preserve">Chuỗi khu vực</t>
  </si>
  <si>
    <t xml:space="preserve">Doanh nghiệp lớn</t>
  </si>
  <si>
    <t xml:space="preserve">Nền tảng thanh toán lớn</t>
  </si>
  <si>
    <t xml:space="preserve">Tập đoàn toàn cầu (Visa, PayPal…)</t>
  </si>
  <si>
    <t xml:space="preserve">H. Tâm lý &amp; kỹ thuật</t>
  </si>
  <si>
    <t xml:space="preserve">Fear &amp; Greed Index</t>
  </si>
  <si>
    <t xml:space="preserve">Tham lam (sợ hãi → hướng −1)</t>
  </si>
  <si>
    <t xml:space="preserve">Giá trị chỉ số (sợ hãi: 40/30/25/15/≤10)</t>
  </si>
  <si>
    <t xml:space="preserve">alternative.me</t>
  </si>
  <si>
    <t xml:space="preserve">60</t>
  </si>
  <si>
    <t xml:space="preserve">70</t>
  </si>
  <si>
    <t xml:space="preserve">75</t>
  </si>
  <si>
    <t xml:space="preserve">85</t>
  </si>
  <si>
    <t xml:space="preserve">≥90</t>
  </si>
  <si>
    <t xml:space="preserve">Google Trends "Bitcoin"</t>
  </si>
  <si>
    <t xml:space="preserve">Tăng đột biến</t>
  </si>
  <si>
    <t xml:space="preserve">Thay đổi tuần (%)</t>
  </si>
  <si>
    <t xml:space="preserve">Google Trends</t>
  </si>
  <si>
    <t xml:space="preserve">Tâm lý mạng xã hội (X, Reddit)</t>
  </si>
  <si>
    <t xml:space="preserve">Hưng phấn</t>
  </si>
  <si>
    <t xml:space="preserve">Điểm sentiment so trung bình</t>
  </si>
  <si>
    <t xml:space="preserve">Santiment, LunarCrush</t>
  </si>
  <si>
    <t xml:space="preserve">Nhẹ</t>
  </si>
  <si>
    <t xml:space="preserve">Rõ</t>
  </si>
  <si>
    <t xml:space="preserve">Mạnh</t>
  </si>
  <si>
    <t xml:space="preserve">Rất mạnh</t>
  </si>
  <si>
    <t xml:space="preserve">Cực đoan</t>
  </si>
  <si>
    <t xml:space="preserve">BTC dominance</t>
  </si>
  <si>
    <t xml:space="preserve">Thay đổi trong ngày (điểm %)</t>
  </si>
  <si>
    <t xml:space="preserve">TradingView (BTC.D)</t>
  </si>
  <si>
    <t xml:space="preserve">Vị trí giá so MA200 / mốc kỹ thuật</t>
  </si>
  <si>
    <t xml:space="preserve">Phá kháng cự lên trên (phá hỗ trợ → −1)</t>
  </si>
  <si>
    <t xml:space="preserve">Mốc bị phá</t>
  </si>
  <si>
    <t xml:space="preserve">Chạm kháng cự</t>
  </si>
  <si>
    <t xml:space="preserve">Vượt MA50</t>
  </si>
  <si>
    <t xml:space="preserve">Vượt MA200</t>
  </si>
  <si>
    <t xml:space="preserve">Vượt đỉnh tháng</t>
  </si>
  <si>
    <t xml:space="preserve">Phá ATH</t>
  </si>
  <si>
    <t xml:space="preserve">Tin đồn lớn (FUD/FOMO)</t>
  </si>
  <si>
    <t xml:space="preserve">Tin đồn tích cực (FUD → −1)</t>
  </si>
  <si>
    <t xml:space="preserve">Mức lan truyền / độ tin cậy</t>
  </si>
  <si>
    <t xml:space="preserve">X, CoinDesk</t>
  </si>
  <si>
    <t xml:space="preserve">Tài khoản nhỏ</t>
  </si>
  <si>
    <t xml:space="preserve">KOL</t>
  </si>
  <si>
    <t xml:space="preserve">Báo lớn đưa, chưa xác nhận</t>
  </si>
  <si>
    <t xml:space="preserve">Lan truyền diện rộng</t>
  </si>
  <si>
    <t xml:space="preserve">Nguồn đáng tin gần như xác nhận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</si>
</sst>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"/>
    <numFmt numFmtId="167" formatCode="#,##0"/>
    <numFmt numFmtId="168" formatCode="#,##0;\-#,##0;0"/>
    <numFmt numFmtId="169" formatCode="#,##0.0;\-#,##0.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30"/>
    <col collapsed="false" customWidth="true" hidden="false" outlineLevel="0" max="6" min="6" style="0" width="2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4" t="s">
        <v>17</v>
      </c>
    </row>
    <row r="2" customFormat="false" ht="15" hidden="false" customHeight="false" outlineLevel="0" collapsed="false">
      <c r="A2" s="5" t="s">
        <v>18</v>
      </c>
      <c r="C2" s="6" t="n">
        <f aca="false">SUM(O6:O105)</f>
        <v>450</v>
      </c>
      <c r="E2" s="5" t="s">
        <v>19</v>
      </c>
      <c r="G2" s="7" t="n">
        <f aca="false">IF(C3=0,0,C2/C3)</f>
        <v>0.0109809663250366</v>
      </c>
    </row>
    <row r="3" customFormat="false" ht="15" hidden="false" customHeight="false" outlineLevel="0" collapsed="false">
      <c r="A3" s="5" t="s">
        <v>20</v>
      </c>
      <c r="C3" s="8" t="n">
        <f aca="false">SUMPRODUCT(ABS(L6:L105))</f>
        <v>40980</v>
      </c>
      <c r="E3" s="5" t="s">
        <v>21</v>
      </c>
      <c r="G3" s="9" t="str">
        <f aca="false">IF(G2&gt;=0.05,"Nghiêng TĂNG",IF(G2&lt;=-0.05,"Nghiêng GIẢM","Trung tính"))</f>
        <v>Trung tính</v>
      </c>
    </row>
    <row r="5" customFormat="false" ht="42" hidden="false" customHeight="true" outlineLevel="0" collapsed="false">
      <c r="A5" s="10" t="s">
        <v>22</v>
      </c>
      <c r="B5" s="10" t="s">
        <v>23</v>
      </c>
      <c r="C5" s="10" t="s">
        <v>24</v>
      </c>
      <c r="D5" s="10" t="s">
        <v>25</v>
      </c>
      <c r="E5" s="10" t="s">
        <v>26</v>
      </c>
      <c r="F5" s="10" t="s">
        <v>27</v>
      </c>
      <c r="G5" s="10" t="s">
        <v>28</v>
      </c>
      <c r="H5" s="10" t="s">
        <v>29</v>
      </c>
      <c r="I5" s="10" t="s">
        <v>30</v>
      </c>
      <c r="J5" s="10" t="s">
        <v>31</v>
      </c>
      <c r="K5" s="10" t="s">
        <v>32</v>
      </c>
      <c r="L5" s="10" t="s">
        <v>33</v>
      </c>
      <c r="M5" s="10" t="s">
        <v>34</v>
      </c>
      <c r="N5" s="10" t="s">
        <v>35</v>
      </c>
      <c r="O5" s="10" t="s">
        <v>36</v>
      </c>
    </row>
    <row r="6" customFormat="false" ht="35.05" hidden="false" customHeight="false" outlineLevel="0" collapsed="false">
      <c r="A6" s="11" t="n">
        <v>1</v>
      </c>
      <c r="B6" s="12" t="s">
        <v>37</v>
      </c>
      <c r="C6" s="11" t="s">
        <v>38</v>
      </c>
      <c r="D6" s="11" t="s">
        <v>39</v>
      </c>
      <c r="E6" s="11" t="s">
        <v>40</v>
      </c>
      <c r="F6" s="11" t="s">
        <v>41</v>
      </c>
      <c r="G6" s="11" t="s">
        <v>42</v>
      </c>
      <c r="H6" s="11" t="s">
        <v>43</v>
      </c>
      <c r="I6" s="11" t="s">
        <v>44</v>
      </c>
      <c r="J6" s="11" t="s">
        <v>45</v>
      </c>
      <c r="K6" s="11" t="s">
        <v>46</v>
      </c>
      <c r="L6" s="13" t="n">
        <v>-950</v>
      </c>
      <c r="M6" s="14"/>
      <c r="N6" s="14"/>
      <c r="O6" s="15" t="n">
        <f aca="false">IF(OR(M6="",N6=""),0,L6*M6*N6)</f>
        <v>0</v>
      </c>
    </row>
    <row r="7" customFormat="false" ht="23.85" hidden="false" customHeight="false" outlineLevel="0" collapsed="false">
      <c r="A7" s="11" t="n">
        <v>2</v>
      </c>
      <c r="B7" s="11" t="s">
        <v>37</v>
      </c>
      <c r="C7" s="11" t="s">
        <v>47</v>
      </c>
      <c r="D7" s="11" t="s">
        <v>48</v>
      </c>
      <c r="E7" s="11" t="s">
        <v>49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  <c r="K7" s="11" t="s">
        <v>55</v>
      </c>
      <c r="L7" s="13" t="n">
        <v>-700</v>
      </c>
      <c r="M7" s="14"/>
      <c r="N7" s="14"/>
      <c r="O7" s="15" t="n">
        <f aca="false">IF(OR(M7="",N7=""),0,L7*M7*N7)</f>
        <v>0</v>
      </c>
    </row>
    <row r="8" customFormat="false" ht="23.85" hidden="false" customHeight="false" outlineLevel="0" collapsed="false">
      <c r="A8" s="11" t="n">
        <v>3</v>
      </c>
      <c r="B8" s="11" t="s">
        <v>37</v>
      </c>
      <c r="C8" s="11" t="s">
        <v>56</v>
      </c>
      <c r="D8" s="11" t="s">
        <v>57</v>
      </c>
      <c r="E8" s="11" t="s">
        <v>58</v>
      </c>
      <c r="F8" s="11" t="s">
        <v>59</v>
      </c>
      <c r="G8" s="11" t="s">
        <v>60</v>
      </c>
      <c r="H8" s="11" t="s">
        <v>61</v>
      </c>
      <c r="I8" s="11" t="s">
        <v>62</v>
      </c>
      <c r="J8" s="11" t="s">
        <v>63</v>
      </c>
      <c r="K8" s="11" t="s">
        <v>64</v>
      </c>
      <c r="L8" s="13" t="n">
        <v>-750</v>
      </c>
      <c r="M8" s="14"/>
      <c r="N8" s="14"/>
      <c r="O8" s="15" t="n">
        <f aca="false">IF(OR(M8="",N8=""),0,L8*M8*N8)</f>
        <v>0</v>
      </c>
    </row>
    <row r="9" customFormat="false" ht="23.85" hidden="false" customHeight="false" outlineLevel="0" collapsed="false">
      <c r="A9" s="11" t="n">
        <v>4</v>
      </c>
      <c r="B9" s="11" t="s">
        <v>37</v>
      </c>
      <c r="C9" s="11" t="s">
        <v>65</v>
      </c>
      <c r="D9" s="11" t="s">
        <v>66</v>
      </c>
      <c r="E9" s="11" t="s">
        <v>67</v>
      </c>
      <c r="F9" s="11" t="s">
        <v>68</v>
      </c>
      <c r="G9" s="11" t="s">
        <v>60</v>
      </c>
      <c r="H9" s="11" t="s">
        <v>61</v>
      </c>
      <c r="I9" s="11" t="s">
        <v>62</v>
      </c>
      <c r="J9" s="11" t="s">
        <v>63</v>
      </c>
      <c r="K9" s="11" t="s">
        <v>64</v>
      </c>
      <c r="L9" s="13" t="n">
        <v>-400</v>
      </c>
      <c r="M9" s="14"/>
      <c r="N9" s="14"/>
      <c r="O9" s="15" t="n">
        <f aca="false">IF(OR(M9="",N9=""),0,L9*M9*N9)</f>
        <v>0</v>
      </c>
    </row>
    <row r="10" customFormat="false" ht="15" hidden="false" customHeight="false" outlineLevel="0" collapsed="false">
      <c r="A10" s="11" t="n">
        <v>5</v>
      </c>
      <c r="B10" s="11" t="s">
        <v>37</v>
      </c>
      <c r="C10" s="11" t="s">
        <v>69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74</v>
      </c>
      <c r="I10" s="11" t="s">
        <v>75</v>
      </c>
      <c r="J10" s="11" t="s">
        <v>76</v>
      </c>
      <c r="K10" s="11" t="s">
        <v>77</v>
      </c>
      <c r="L10" s="13" t="n">
        <v>-850</v>
      </c>
      <c r="M10" s="14"/>
      <c r="N10" s="14"/>
      <c r="O10" s="15" t="n">
        <f aca="false">IF(OR(M10="",N10=""),0,L10*M10*N10)</f>
        <v>0</v>
      </c>
    </row>
    <row r="11" customFormat="false" ht="15" hidden="false" customHeight="false" outlineLevel="0" collapsed="false">
      <c r="A11" s="11" t="n">
        <v>6</v>
      </c>
      <c r="B11" s="11" t="s">
        <v>37</v>
      </c>
      <c r="C11" s="11" t="s">
        <v>78</v>
      </c>
      <c r="D11" s="11" t="s">
        <v>79</v>
      </c>
      <c r="E11" s="11" t="s">
        <v>71</v>
      </c>
      <c r="F11" s="11" t="s">
        <v>80</v>
      </c>
      <c r="G11" s="11" t="s">
        <v>73</v>
      </c>
      <c r="H11" s="11" t="s">
        <v>74</v>
      </c>
      <c r="I11" s="11" t="s">
        <v>81</v>
      </c>
      <c r="J11" s="11" t="s">
        <v>75</v>
      </c>
      <c r="K11" s="11" t="s">
        <v>82</v>
      </c>
      <c r="L11" s="13" t="n">
        <v>-900</v>
      </c>
      <c r="M11" s="14"/>
      <c r="N11" s="14"/>
      <c r="O11" s="15" t="n">
        <f aca="false">IF(OR(M11="",N11=""),0,L11*M11*N11)</f>
        <v>0</v>
      </c>
    </row>
    <row r="12" customFormat="false" ht="15" hidden="false" customHeight="false" outlineLevel="0" collapsed="false">
      <c r="A12" s="11" t="n">
        <v>7</v>
      </c>
      <c r="B12" s="11" t="s">
        <v>37</v>
      </c>
      <c r="C12" s="11" t="s">
        <v>83</v>
      </c>
      <c r="D12" s="11" t="s">
        <v>84</v>
      </c>
      <c r="E12" s="11" t="s">
        <v>71</v>
      </c>
      <c r="F12" s="11" t="s">
        <v>85</v>
      </c>
      <c r="G12" s="11" t="s">
        <v>73</v>
      </c>
      <c r="H12" s="11" t="s">
        <v>74</v>
      </c>
      <c r="I12" s="11" t="s">
        <v>81</v>
      </c>
      <c r="J12" s="11" t="s">
        <v>75</v>
      </c>
      <c r="K12" s="11" t="s">
        <v>82</v>
      </c>
      <c r="L12" s="13" t="n">
        <v>-650</v>
      </c>
      <c r="M12" s="14"/>
      <c r="N12" s="14"/>
      <c r="O12" s="15" t="n">
        <f aca="false">IF(OR(M12="",N12=""),0,L12*M12*N12)</f>
        <v>0</v>
      </c>
    </row>
    <row r="13" customFormat="false" ht="15" hidden="false" customHeight="false" outlineLevel="0" collapsed="false">
      <c r="A13" s="11" t="n">
        <v>8</v>
      </c>
      <c r="B13" s="11" t="s">
        <v>37</v>
      </c>
      <c r="C13" s="11" t="s">
        <v>86</v>
      </c>
      <c r="D13" s="11" t="s">
        <v>87</v>
      </c>
      <c r="E13" s="11" t="s">
        <v>71</v>
      </c>
      <c r="F13" s="11" t="s">
        <v>80</v>
      </c>
      <c r="G13" s="11" t="s">
        <v>74</v>
      </c>
      <c r="H13" s="11" t="s">
        <v>75</v>
      </c>
      <c r="I13" s="11" t="s">
        <v>76</v>
      </c>
      <c r="J13" s="11" t="s">
        <v>88</v>
      </c>
      <c r="K13" s="11" t="s">
        <v>89</v>
      </c>
      <c r="L13" s="13" t="n">
        <v>-400</v>
      </c>
      <c r="M13" s="14"/>
      <c r="N13" s="14"/>
      <c r="O13" s="15" t="n">
        <f aca="false">IF(OR(M13="",N13=""),0,L13*M13*N13)</f>
        <v>0</v>
      </c>
    </row>
    <row r="14" customFormat="false" ht="15" hidden="false" customHeight="false" outlineLevel="0" collapsed="false">
      <c r="A14" s="11" t="n">
        <v>9</v>
      </c>
      <c r="B14" s="11" t="s">
        <v>37</v>
      </c>
      <c r="C14" s="11" t="s">
        <v>90</v>
      </c>
      <c r="D14" s="11" t="s">
        <v>91</v>
      </c>
      <c r="E14" s="11" t="s">
        <v>92</v>
      </c>
      <c r="F14" s="11" t="s">
        <v>80</v>
      </c>
      <c r="G14" s="11" t="s">
        <v>93</v>
      </c>
      <c r="H14" s="11" t="s">
        <v>94</v>
      </c>
      <c r="I14" s="11" t="s">
        <v>95</v>
      </c>
      <c r="J14" s="11" t="s">
        <v>96</v>
      </c>
      <c r="K14" s="11" t="s">
        <v>97</v>
      </c>
      <c r="L14" s="13" t="n">
        <v>-500</v>
      </c>
      <c r="M14" s="14"/>
      <c r="N14" s="14"/>
      <c r="O14" s="15" t="n">
        <f aca="false">IF(OR(M14="",N14=""),0,L14*M14*N14)</f>
        <v>0</v>
      </c>
    </row>
    <row r="15" customFormat="false" ht="23.85" hidden="false" customHeight="false" outlineLevel="0" collapsed="false">
      <c r="A15" s="11" t="n">
        <v>10</v>
      </c>
      <c r="B15" s="11" t="s">
        <v>37</v>
      </c>
      <c r="C15" s="11" t="s">
        <v>98</v>
      </c>
      <c r="D15" s="11" t="s">
        <v>99</v>
      </c>
      <c r="E15" s="11" t="s">
        <v>71</v>
      </c>
      <c r="F15" s="11" t="s">
        <v>80</v>
      </c>
      <c r="G15" s="11" t="s">
        <v>73</v>
      </c>
      <c r="H15" s="11" t="s">
        <v>74</v>
      </c>
      <c r="I15" s="11" t="s">
        <v>75</v>
      </c>
      <c r="J15" s="11" t="s">
        <v>76</v>
      </c>
      <c r="K15" s="11" t="s">
        <v>100</v>
      </c>
      <c r="L15" s="13" t="n">
        <v>300</v>
      </c>
      <c r="M15" s="14"/>
      <c r="N15" s="14"/>
      <c r="O15" s="15" t="n">
        <f aca="false">IF(OR(M15="",N15=""),0,L15*M15*N15)</f>
        <v>0</v>
      </c>
    </row>
    <row r="16" customFormat="false" ht="15" hidden="false" customHeight="false" outlineLevel="0" collapsed="false">
      <c r="A16" s="11" t="n">
        <v>11</v>
      </c>
      <c r="B16" s="11" t="s">
        <v>37</v>
      </c>
      <c r="C16" s="11" t="s">
        <v>101</v>
      </c>
      <c r="D16" s="11" t="s">
        <v>102</v>
      </c>
      <c r="E16" s="11" t="s">
        <v>103</v>
      </c>
      <c r="F16" s="11" t="s">
        <v>104</v>
      </c>
      <c r="G16" s="11" t="s">
        <v>105</v>
      </c>
      <c r="H16" s="11" t="s">
        <v>106</v>
      </c>
      <c r="I16" s="11" t="s">
        <v>107</v>
      </c>
      <c r="J16" s="11" t="s">
        <v>108</v>
      </c>
      <c r="K16" s="11" t="s">
        <v>109</v>
      </c>
      <c r="L16" s="13" t="n">
        <v>150</v>
      </c>
      <c r="M16" s="14"/>
      <c r="N16" s="14"/>
      <c r="O16" s="15" t="n">
        <f aca="false">IF(OR(M16="",N16=""),0,L16*M16*N16)</f>
        <v>0</v>
      </c>
    </row>
    <row r="17" customFormat="false" ht="15" hidden="false" customHeight="false" outlineLevel="0" collapsed="false">
      <c r="A17" s="11" t="n">
        <v>12</v>
      </c>
      <c r="B17" s="11" t="s">
        <v>37</v>
      </c>
      <c r="C17" s="11" t="s">
        <v>110</v>
      </c>
      <c r="D17" s="11" t="s">
        <v>111</v>
      </c>
      <c r="E17" s="11" t="s">
        <v>71</v>
      </c>
      <c r="F17" s="11" t="s">
        <v>85</v>
      </c>
      <c r="G17" s="11" t="s">
        <v>75</v>
      </c>
      <c r="H17" s="11" t="s">
        <v>112</v>
      </c>
      <c r="I17" s="11" t="s">
        <v>113</v>
      </c>
      <c r="J17" s="11" t="s">
        <v>114</v>
      </c>
      <c r="K17" s="11" t="s">
        <v>115</v>
      </c>
      <c r="L17" s="13" t="n">
        <v>-200</v>
      </c>
      <c r="M17" s="14"/>
      <c r="N17" s="14"/>
      <c r="O17" s="15" t="n">
        <f aca="false">IF(OR(M17="",N17=""),0,L17*M17*N17)</f>
        <v>0</v>
      </c>
    </row>
    <row r="18" customFormat="false" ht="15" hidden="false" customHeight="false" outlineLevel="0" collapsed="false">
      <c r="A18" s="11" t="n">
        <v>13</v>
      </c>
      <c r="B18" s="11" t="s">
        <v>37</v>
      </c>
      <c r="C18" s="11" t="s">
        <v>116</v>
      </c>
      <c r="D18" s="11" t="s">
        <v>117</v>
      </c>
      <c r="E18" s="11" t="s">
        <v>118</v>
      </c>
      <c r="F18" s="11" t="s">
        <v>119</v>
      </c>
      <c r="G18" s="11" t="s">
        <v>88</v>
      </c>
      <c r="H18" s="11" t="s">
        <v>120</v>
      </c>
      <c r="I18" s="11" t="s">
        <v>121</v>
      </c>
      <c r="J18" s="11" t="s">
        <v>122</v>
      </c>
      <c r="K18" s="11" t="s">
        <v>123</v>
      </c>
      <c r="L18" s="13" t="n">
        <v>-250</v>
      </c>
      <c r="M18" s="14"/>
      <c r="N18" s="14"/>
      <c r="O18" s="15" t="n">
        <f aca="false">IF(OR(M18="",N18=""),0,L18*M18*N18)</f>
        <v>0</v>
      </c>
    </row>
    <row r="19" customFormat="false" ht="15" hidden="false" customHeight="false" outlineLevel="0" collapsed="false">
      <c r="A19" s="11" t="n">
        <v>14</v>
      </c>
      <c r="B19" s="11" t="s">
        <v>37</v>
      </c>
      <c r="C19" s="11" t="s">
        <v>124</v>
      </c>
      <c r="D19" s="11" t="s">
        <v>102</v>
      </c>
      <c r="E19" s="11" t="s">
        <v>125</v>
      </c>
      <c r="F19" s="11" t="s">
        <v>126</v>
      </c>
      <c r="G19" s="11" t="s">
        <v>75</v>
      </c>
      <c r="H19" s="11" t="s">
        <v>112</v>
      </c>
      <c r="I19" s="11" t="s">
        <v>127</v>
      </c>
      <c r="J19" s="11" t="s">
        <v>114</v>
      </c>
      <c r="K19" s="11" t="s">
        <v>115</v>
      </c>
      <c r="L19" s="13" t="n">
        <v>-250</v>
      </c>
      <c r="M19" s="14"/>
      <c r="N19" s="14"/>
      <c r="O19" s="15" t="n">
        <f aca="false">IF(OR(M19="",N19=""),0,L19*M19*N19)</f>
        <v>0</v>
      </c>
    </row>
    <row r="20" customFormat="false" ht="15" hidden="false" customHeight="false" outlineLevel="0" collapsed="false">
      <c r="A20" s="11" t="n">
        <v>15</v>
      </c>
      <c r="B20" s="11" t="s">
        <v>37</v>
      </c>
      <c r="C20" s="11" t="s">
        <v>128</v>
      </c>
      <c r="D20" s="11" t="s">
        <v>129</v>
      </c>
      <c r="E20" s="11" t="s">
        <v>130</v>
      </c>
      <c r="F20" s="11" t="s">
        <v>131</v>
      </c>
      <c r="G20" s="11" t="s">
        <v>122</v>
      </c>
      <c r="H20" s="11" t="s">
        <v>132</v>
      </c>
      <c r="I20" s="11" t="s">
        <v>133</v>
      </c>
      <c r="J20" s="11" t="s">
        <v>134</v>
      </c>
      <c r="K20" s="11" t="s">
        <v>135</v>
      </c>
      <c r="L20" s="13" t="n">
        <v>-700</v>
      </c>
      <c r="M20" s="14"/>
      <c r="N20" s="14"/>
      <c r="O20" s="15" t="n">
        <f aca="false">IF(OR(M20="",N20=""),0,L20*M20*N20)</f>
        <v>0</v>
      </c>
    </row>
    <row r="21" customFormat="false" ht="23.85" hidden="false" customHeight="false" outlineLevel="0" collapsed="false">
      <c r="A21" s="11" t="n">
        <v>16</v>
      </c>
      <c r="B21" s="11" t="s">
        <v>37</v>
      </c>
      <c r="C21" s="11" t="s">
        <v>136</v>
      </c>
      <c r="D21" s="11" t="s">
        <v>137</v>
      </c>
      <c r="E21" s="11" t="s">
        <v>138</v>
      </c>
      <c r="F21" s="11" t="s">
        <v>139</v>
      </c>
      <c r="G21" s="11" t="s">
        <v>122</v>
      </c>
      <c r="H21" s="11" t="s">
        <v>132</v>
      </c>
      <c r="I21" s="11" t="s">
        <v>133</v>
      </c>
      <c r="J21" s="11" t="s">
        <v>134</v>
      </c>
      <c r="K21" s="11" t="s">
        <v>135</v>
      </c>
      <c r="L21" s="13" t="n">
        <v>200</v>
      </c>
      <c r="M21" s="14"/>
      <c r="N21" s="14"/>
      <c r="O21" s="15" t="n">
        <f aca="false">IF(OR(M21="",N21=""),0,L21*M21*N21)</f>
        <v>0</v>
      </c>
    </row>
    <row r="22" customFormat="false" ht="15" hidden="false" customHeight="false" outlineLevel="0" collapsed="false">
      <c r="A22" s="11" t="n">
        <v>17</v>
      </c>
      <c r="B22" s="11" t="s">
        <v>37</v>
      </c>
      <c r="C22" s="11" t="s">
        <v>140</v>
      </c>
      <c r="D22" s="11" t="s">
        <v>141</v>
      </c>
      <c r="E22" s="11" t="s">
        <v>142</v>
      </c>
      <c r="F22" s="11" t="s">
        <v>143</v>
      </c>
      <c r="G22" s="11" t="s">
        <v>81</v>
      </c>
      <c r="H22" s="11" t="s">
        <v>76</v>
      </c>
      <c r="I22" s="11" t="s">
        <v>88</v>
      </c>
      <c r="J22" s="11" t="s">
        <v>144</v>
      </c>
      <c r="K22" s="11" t="s">
        <v>145</v>
      </c>
      <c r="L22" s="13" t="n">
        <v>-800</v>
      </c>
      <c r="M22" s="14"/>
      <c r="N22" s="14"/>
      <c r="O22" s="15" t="n">
        <f aca="false">IF(OR(M22="",N22=""),0,L22*M22*N22)</f>
        <v>0</v>
      </c>
    </row>
    <row r="23" customFormat="false" ht="23.85" hidden="false" customHeight="false" outlineLevel="0" collapsed="false">
      <c r="A23" s="11" t="n">
        <v>18</v>
      </c>
      <c r="B23" s="11" t="s">
        <v>37</v>
      </c>
      <c r="C23" s="11" t="s">
        <v>146</v>
      </c>
      <c r="D23" s="11" t="s">
        <v>147</v>
      </c>
      <c r="E23" s="11" t="s">
        <v>148</v>
      </c>
      <c r="F23" s="11" t="s">
        <v>149</v>
      </c>
      <c r="G23" s="11" t="s">
        <v>150</v>
      </c>
      <c r="H23" s="11" t="s">
        <v>151</v>
      </c>
      <c r="I23" s="11" t="s">
        <v>152</v>
      </c>
      <c r="J23" s="11" t="s">
        <v>153</v>
      </c>
      <c r="K23" s="11" t="s">
        <v>154</v>
      </c>
      <c r="L23" s="13" t="n">
        <v>500</v>
      </c>
      <c r="M23" s="14"/>
      <c r="N23" s="14"/>
      <c r="O23" s="15" t="n">
        <f aca="false">IF(OR(M23="",N23=""),0,L23*M23*N23)</f>
        <v>0</v>
      </c>
    </row>
    <row r="24" customFormat="false" ht="23.85" hidden="false" customHeight="false" outlineLevel="0" collapsed="false">
      <c r="A24" s="11" t="n">
        <v>19</v>
      </c>
      <c r="B24" s="11" t="s">
        <v>37</v>
      </c>
      <c r="C24" s="11" t="s">
        <v>155</v>
      </c>
      <c r="D24" s="11" t="s">
        <v>156</v>
      </c>
      <c r="E24" s="11" t="s">
        <v>157</v>
      </c>
      <c r="F24" s="11" t="s">
        <v>158</v>
      </c>
      <c r="G24" s="11" t="s">
        <v>53</v>
      </c>
      <c r="H24" s="11" t="s">
        <v>54</v>
      </c>
      <c r="I24" s="11" t="s">
        <v>159</v>
      </c>
      <c r="J24" s="11" t="s">
        <v>160</v>
      </c>
      <c r="K24" s="11" t="s">
        <v>161</v>
      </c>
      <c r="L24" s="13" t="n">
        <v>600</v>
      </c>
      <c r="M24" s="14"/>
      <c r="N24" s="14"/>
      <c r="O24" s="15" t="n">
        <f aca="false">IF(OR(M24="",N24=""),0,L24*M24*N24)</f>
        <v>0</v>
      </c>
    </row>
    <row r="25" customFormat="false" ht="23.85" hidden="false" customHeight="false" outlineLevel="0" collapsed="false">
      <c r="A25" s="11" t="n">
        <v>20</v>
      </c>
      <c r="B25" s="11" t="s">
        <v>37</v>
      </c>
      <c r="C25" s="11" t="s">
        <v>162</v>
      </c>
      <c r="D25" s="11" t="s">
        <v>163</v>
      </c>
      <c r="E25" s="11" t="s">
        <v>164</v>
      </c>
      <c r="F25" s="11" t="s">
        <v>165</v>
      </c>
      <c r="G25" s="11" t="s">
        <v>166</v>
      </c>
      <c r="H25" s="11" t="s">
        <v>133</v>
      </c>
      <c r="I25" s="11" t="s">
        <v>167</v>
      </c>
      <c r="J25" s="11" t="s">
        <v>168</v>
      </c>
      <c r="K25" s="11" t="s">
        <v>169</v>
      </c>
      <c r="L25" s="13" t="n">
        <v>650</v>
      </c>
      <c r="M25" s="14"/>
      <c r="N25" s="14"/>
      <c r="O25" s="15" t="n">
        <f aca="false">IF(OR(M25="",N25=""),0,L25*M25*N25)</f>
        <v>0</v>
      </c>
    </row>
    <row r="26" customFormat="false" ht="15" hidden="false" customHeight="false" outlineLevel="0" collapsed="false">
      <c r="A26" s="11" t="n">
        <v>21</v>
      </c>
      <c r="B26" s="12" t="s">
        <v>170</v>
      </c>
      <c r="C26" s="11" t="s">
        <v>171</v>
      </c>
      <c r="D26" s="11" t="s">
        <v>172</v>
      </c>
      <c r="E26" s="11" t="s">
        <v>142</v>
      </c>
      <c r="F26" s="11" t="s">
        <v>173</v>
      </c>
      <c r="G26" s="11" t="s">
        <v>76</v>
      </c>
      <c r="H26" s="11" t="s">
        <v>127</v>
      </c>
      <c r="I26" s="11" t="s">
        <v>114</v>
      </c>
      <c r="J26" s="11" t="s">
        <v>174</v>
      </c>
      <c r="K26" s="11" t="s">
        <v>175</v>
      </c>
      <c r="L26" s="13" t="n">
        <v>650</v>
      </c>
      <c r="M26" s="14"/>
      <c r="N26" s="14"/>
      <c r="O26" s="15" t="n">
        <f aca="false">IF(OR(M26="",N26=""),0,L26*M26*N26)</f>
        <v>0</v>
      </c>
    </row>
    <row r="27" customFormat="false" ht="15" hidden="false" customHeight="false" outlineLevel="0" collapsed="false">
      <c r="A27" s="11" t="n">
        <v>22</v>
      </c>
      <c r="B27" s="11" t="s">
        <v>170</v>
      </c>
      <c r="C27" s="11" t="s">
        <v>176</v>
      </c>
      <c r="D27" s="11" t="s">
        <v>172</v>
      </c>
      <c r="E27" s="11" t="s">
        <v>142</v>
      </c>
      <c r="F27" s="11" t="s">
        <v>173</v>
      </c>
      <c r="G27" s="11" t="s">
        <v>112</v>
      </c>
      <c r="H27" s="11" t="s">
        <v>144</v>
      </c>
      <c r="I27" s="11" t="s">
        <v>177</v>
      </c>
      <c r="J27" s="11" t="s">
        <v>178</v>
      </c>
      <c r="K27" s="11" t="s">
        <v>179</v>
      </c>
      <c r="L27" s="13" t="n">
        <v>750</v>
      </c>
      <c r="M27" s="14"/>
      <c r="N27" s="14"/>
      <c r="O27" s="15" t="n">
        <f aca="false">IF(OR(M27="",N27=""),0,L27*M27*N27)</f>
        <v>0</v>
      </c>
    </row>
    <row r="28" customFormat="false" ht="15" hidden="false" customHeight="false" outlineLevel="0" collapsed="false">
      <c r="A28" s="11" t="n">
        <v>23</v>
      </c>
      <c r="B28" s="11" t="s">
        <v>170</v>
      </c>
      <c r="C28" s="11" t="s">
        <v>180</v>
      </c>
      <c r="D28" s="11" t="s">
        <v>181</v>
      </c>
      <c r="E28" s="11" t="s">
        <v>142</v>
      </c>
      <c r="F28" s="11" t="s">
        <v>182</v>
      </c>
      <c r="G28" s="11" t="s">
        <v>122</v>
      </c>
      <c r="H28" s="11" t="s">
        <v>132</v>
      </c>
      <c r="I28" s="11" t="s">
        <v>133</v>
      </c>
      <c r="J28" s="11" t="s">
        <v>167</v>
      </c>
      <c r="K28" s="11" t="s">
        <v>183</v>
      </c>
      <c r="L28" s="13" t="n">
        <v>-600</v>
      </c>
      <c r="M28" s="14"/>
      <c r="N28" s="14"/>
      <c r="O28" s="15" t="n">
        <f aca="false">IF(OR(M28="",N28=""),0,L28*M28*N28)</f>
        <v>0</v>
      </c>
    </row>
    <row r="29" customFormat="false" ht="15" hidden="false" customHeight="false" outlineLevel="0" collapsed="false">
      <c r="A29" s="11" t="n">
        <v>24</v>
      </c>
      <c r="B29" s="11" t="s">
        <v>170</v>
      </c>
      <c r="C29" s="11" t="s">
        <v>184</v>
      </c>
      <c r="D29" s="11" t="s">
        <v>172</v>
      </c>
      <c r="E29" s="11" t="s">
        <v>142</v>
      </c>
      <c r="F29" s="11" t="s">
        <v>185</v>
      </c>
      <c r="G29" s="11" t="s">
        <v>76</v>
      </c>
      <c r="H29" s="11" t="s">
        <v>127</v>
      </c>
      <c r="I29" s="11" t="s">
        <v>114</v>
      </c>
      <c r="J29" s="11" t="s">
        <v>174</v>
      </c>
      <c r="K29" s="11" t="s">
        <v>175</v>
      </c>
      <c r="L29" s="13" t="n">
        <v>150</v>
      </c>
      <c r="M29" s="14"/>
      <c r="N29" s="14"/>
      <c r="O29" s="15" t="n">
        <f aca="false">IF(OR(M29="",N29=""),0,L29*M29*N29)</f>
        <v>0</v>
      </c>
    </row>
    <row r="30" customFormat="false" ht="15" hidden="false" customHeight="false" outlineLevel="0" collapsed="false">
      <c r="A30" s="11" t="n">
        <v>25</v>
      </c>
      <c r="B30" s="11" t="s">
        <v>170</v>
      </c>
      <c r="C30" s="11" t="s">
        <v>186</v>
      </c>
      <c r="D30" s="11" t="s">
        <v>187</v>
      </c>
      <c r="E30" s="11" t="s">
        <v>142</v>
      </c>
      <c r="F30" s="11" t="s">
        <v>188</v>
      </c>
      <c r="G30" s="11" t="s">
        <v>120</v>
      </c>
      <c r="H30" s="11" t="s">
        <v>121</v>
      </c>
      <c r="I30" s="11" t="s">
        <v>122</v>
      </c>
      <c r="J30" s="11" t="s">
        <v>166</v>
      </c>
      <c r="K30" s="11" t="s">
        <v>189</v>
      </c>
      <c r="L30" s="13" t="n">
        <v>-150</v>
      </c>
      <c r="M30" s="14"/>
      <c r="N30" s="14"/>
      <c r="O30" s="15" t="n">
        <f aca="false">IF(OR(M30="",N30=""),0,L30*M30*N30)</f>
        <v>0</v>
      </c>
    </row>
    <row r="31" customFormat="false" ht="23.85" hidden="false" customHeight="false" outlineLevel="0" collapsed="false">
      <c r="A31" s="11" t="n">
        <v>26</v>
      </c>
      <c r="B31" s="11" t="s">
        <v>170</v>
      </c>
      <c r="C31" s="11" t="s">
        <v>190</v>
      </c>
      <c r="D31" s="11" t="s">
        <v>191</v>
      </c>
      <c r="E31" s="11" t="s">
        <v>192</v>
      </c>
      <c r="F31" s="11" t="s">
        <v>193</v>
      </c>
      <c r="G31" s="11" t="s">
        <v>194</v>
      </c>
      <c r="H31" s="11" t="s">
        <v>195</v>
      </c>
      <c r="I31" s="11" t="s">
        <v>196</v>
      </c>
      <c r="J31" s="11" t="s">
        <v>197</v>
      </c>
      <c r="K31" s="11" t="s">
        <v>198</v>
      </c>
      <c r="L31" s="13" t="n">
        <v>450</v>
      </c>
      <c r="M31" s="14"/>
      <c r="N31" s="14"/>
      <c r="O31" s="15" t="n">
        <f aca="false">IF(OR(M31="",N31=""),0,L31*M31*N31)</f>
        <v>0</v>
      </c>
    </row>
    <row r="32" customFormat="false" ht="15" hidden="false" customHeight="false" outlineLevel="0" collapsed="false">
      <c r="A32" s="11" t="n">
        <v>27</v>
      </c>
      <c r="B32" s="11" t="s">
        <v>170</v>
      </c>
      <c r="C32" s="11" t="s">
        <v>199</v>
      </c>
      <c r="D32" s="11" t="s">
        <v>172</v>
      </c>
      <c r="E32" s="11" t="s">
        <v>142</v>
      </c>
      <c r="F32" s="11" t="s">
        <v>173</v>
      </c>
      <c r="G32" s="11" t="s">
        <v>120</v>
      </c>
      <c r="H32" s="11" t="s">
        <v>121</v>
      </c>
      <c r="I32" s="11" t="s">
        <v>200</v>
      </c>
      <c r="J32" s="11" t="s">
        <v>201</v>
      </c>
      <c r="K32" s="11" t="s">
        <v>202</v>
      </c>
      <c r="L32" s="13" t="n">
        <v>350</v>
      </c>
      <c r="M32" s="14"/>
      <c r="N32" s="14"/>
      <c r="O32" s="15" t="n">
        <f aca="false">IF(OR(M32="",N32=""),0,L32*M32*N32)</f>
        <v>0</v>
      </c>
    </row>
    <row r="33" customFormat="false" ht="15" hidden="false" customHeight="false" outlineLevel="0" collapsed="false">
      <c r="A33" s="11" t="n">
        <v>28</v>
      </c>
      <c r="B33" s="11" t="s">
        <v>170</v>
      </c>
      <c r="C33" s="11" t="s">
        <v>203</v>
      </c>
      <c r="D33" s="11" t="s">
        <v>204</v>
      </c>
      <c r="E33" s="11" t="s">
        <v>142</v>
      </c>
      <c r="F33" s="11" t="s">
        <v>205</v>
      </c>
      <c r="G33" s="11" t="s">
        <v>76</v>
      </c>
      <c r="H33" s="11" t="s">
        <v>127</v>
      </c>
      <c r="I33" s="11" t="s">
        <v>114</v>
      </c>
      <c r="J33" s="11" t="s">
        <v>174</v>
      </c>
      <c r="K33" s="11" t="s">
        <v>175</v>
      </c>
      <c r="L33" s="13" t="n">
        <v>-700</v>
      </c>
      <c r="M33" s="14"/>
      <c r="N33" s="14"/>
      <c r="O33" s="15" t="n">
        <f aca="false">IF(OR(M33="",N33=""),0,L33*M33*N33)</f>
        <v>0</v>
      </c>
    </row>
    <row r="34" customFormat="false" ht="35.05" hidden="false" customHeight="false" outlineLevel="0" collapsed="false">
      <c r="A34" s="11" t="n">
        <v>29</v>
      </c>
      <c r="B34" s="11" t="s">
        <v>170</v>
      </c>
      <c r="C34" s="11" t="s">
        <v>206</v>
      </c>
      <c r="D34" s="11" t="s">
        <v>207</v>
      </c>
      <c r="E34" s="11" t="s">
        <v>208</v>
      </c>
      <c r="F34" s="11" t="s">
        <v>209</v>
      </c>
      <c r="G34" s="11" t="s">
        <v>42</v>
      </c>
      <c r="H34" s="11" t="s">
        <v>43</v>
      </c>
      <c r="I34" s="11" t="s">
        <v>44</v>
      </c>
      <c r="J34" s="11" t="s">
        <v>45</v>
      </c>
      <c r="K34" s="11" t="s">
        <v>46</v>
      </c>
      <c r="L34" s="13" t="n">
        <v>-600</v>
      </c>
      <c r="M34" s="14"/>
      <c r="N34" s="14"/>
      <c r="O34" s="15" t="n">
        <f aca="false">IF(OR(M34="",N34=""),0,L34*M34*N34)</f>
        <v>0</v>
      </c>
    </row>
    <row r="35" customFormat="false" ht="23.85" hidden="false" customHeight="false" outlineLevel="0" collapsed="false">
      <c r="A35" s="11" t="n">
        <v>30</v>
      </c>
      <c r="B35" s="11" t="s">
        <v>170</v>
      </c>
      <c r="C35" s="11" t="s">
        <v>210</v>
      </c>
      <c r="D35" s="11" t="s">
        <v>211</v>
      </c>
      <c r="E35" s="11" t="s">
        <v>212</v>
      </c>
      <c r="F35" s="11" t="s">
        <v>213</v>
      </c>
      <c r="G35" s="11" t="s">
        <v>214</v>
      </c>
      <c r="H35" s="11" t="s">
        <v>215</v>
      </c>
      <c r="I35" s="11" t="s">
        <v>216</v>
      </c>
      <c r="J35" s="11" t="s">
        <v>217</v>
      </c>
      <c r="K35" s="11" t="s">
        <v>218</v>
      </c>
      <c r="L35" s="13" t="n">
        <v>450</v>
      </c>
      <c r="M35" s="14"/>
      <c r="N35" s="14"/>
      <c r="O35" s="15" t="n">
        <f aca="false">IF(OR(M35="",N35=""),0,L35*M35*N35)</f>
        <v>0</v>
      </c>
    </row>
    <row r="36" customFormat="false" ht="35.05" hidden="false" customHeight="false" outlineLevel="0" collapsed="false">
      <c r="A36" s="11" t="n">
        <v>31</v>
      </c>
      <c r="B36" s="11" t="s">
        <v>170</v>
      </c>
      <c r="C36" s="11" t="s">
        <v>219</v>
      </c>
      <c r="D36" s="11" t="s">
        <v>220</v>
      </c>
      <c r="E36" s="11" t="s">
        <v>208</v>
      </c>
      <c r="F36" s="11" t="s">
        <v>221</v>
      </c>
      <c r="G36" s="11" t="s">
        <v>42</v>
      </c>
      <c r="H36" s="11" t="s">
        <v>43</v>
      </c>
      <c r="I36" s="11" t="s">
        <v>44</v>
      </c>
      <c r="J36" s="11" t="s">
        <v>45</v>
      </c>
      <c r="K36" s="11" t="s">
        <v>46</v>
      </c>
      <c r="L36" s="13" t="n">
        <v>-250</v>
      </c>
      <c r="M36" s="14"/>
      <c r="N36" s="14"/>
      <c r="O36" s="15" t="n">
        <f aca="false">IF(OR(M36="",N36=""),0,L36*M36*N36)</f>
        <v>0</v>
      </c>
    </row>
    <row r="37" customFormat="false" ht="15" hidden="false" customHeight="false" outlineLevel="0" collapsed="false">
      <c r="A37" s="11" t="n">
        <v>32</v>
      </c>
      <c r="B37" s="11" t="s">
        <v>170</v>
      </c>
      <c r="C37" s="11" t="s">
        <v>222</v>
      </c>
      <c r="D37" s="11" t="s">
        <v>223</v>
      </c>
      <c r="E37" s="11" t="s">
        <v>224</v>
      </c>
      <c r="F37" s="11" t="s">
        <v>225</v>
      </c>
      <c r="G37" s="11" t="s">
        <v>75</v>
      </c>
      <c r="H37" s="11" t="s">
        <v>88</v>
      </c>
      <c r="I37" s="11" t="s">
        <v>114</v>
      </c>
      <c r="J37" s="11" t="s">
        <v>174</v>
      </c>
      <c r="K37" s="11" t="s">
        <v>226</v>
      </c>
      <c r="L37" s="13" t="n">
        <v>500</v>
      </c>
      <c r="M37" s="14"/>
      <c r="N37" s="14"/>
      <c r="O37" s="15" t="n">
        <f aca="false">IF(OR(M37="",N37=""),0,L37*M37*N37)</f>
        <v>0</v>
      </c>
    </row>
    <row r="38" customFormat="false" ht="15" hidden="false" customHeight="false" outlineLevel="0" collapsed="false">
      <c r="A38" s="11" t="n">
        <v>33</v>
      </c>
      <c r="B38" s="12" t="s">
        <v>227</v>
      </c>
      <c r="C38" s="11" t="s">
        <v>228</v>
      </c>
      <c r="D38" s="11" t="s">
        <v>229</v>
      </c>
      <c r="E38" s="11" t="s">
        <v>230</v>
      </c>
      <c r="F38" s="11" t="s">
        <v>231</v>
      </c>
      <c r="G38" s="11" t="s">
        <v>54</v>
      </c>
      <c r="H38" s="11" t="s">
        <v>160</v>
      </c>
      <c r="I38" s="11" t="s">
        <v>232</v>
      </c>
      <c r="J38" s="11" t="s">
        <v>233</v>
      </c>
      <c r="K38" s="11" t="s">
        <v>234</v>
      </c>
      <c r="L38" s="13" t="n">
        <v>900</v>
      </c>
      <c r="M38" s="14" t="n">
        <v>1</v>
      </c>
      <c r="N38" s="14" t="n">
        <v>0.5</v>
      </c>
      <c r="O38" s="15" t="n">
        <f aca="false">IF(OR(M38="",N38=""),0,L38*M38*N38)</f>
        <v>450</v>
      </c>
    </row>
    <row r="39" customFormat="false" ht="15" hidden="false" customHeight="false" outlineLevel="0" collapsed="false">
      <c r="A39" s="11" t="n">
        <v>34</v>
      </c>
      <c r="B39" s="11" t="s">
        <v>227</v>
      </c>
      <c r="C39" s="11" t="s">
        <v>235</v>
      </c>
      <c r="D39" s="11" t="s">
        <v>229</v>
      </c>
      <c r="E39" s="11" t="s">
        <v>230</v>
      </c>
      <c r="F39" s="11" t="s">
        <v>236</v>
      </c>
      <c r="G39" s="11" t="s">
        <v>167</v>
      </c>
      <c r="H39" s="11" t="s">
        <v>54</v>
      </c>
      <c r="I39" s="11" t="s">
        <v>159</v>
      </c>
      <c r="J39" s="11" t="s">
        <v>237</v>
      </c>
      <c r="K39" s="11" t="s">
        <v>238</v>
      </c>
      <c r="L39" s="13" t="n">
        <v>250</v>
      </c>
      <c r="M39" s="14"/>
      <c r="N39" s="14"/>
      <c r="O39" s="15" t="n">
        <f aca="false">IF(OR(M39="",N39=""),0,L39*M39*N39)</f>
        <v>0</v>
      </c>
    </row>
    <row r="40" customFormat="false" ht="15" hidden="false" customHeight="false" outlineLevel="0" collapsed="false">
      <c r="A40" s="11" t="n">
        <v>35</v>
      </c>
      <c r="B40" s="11" t="s">
        <v>227</v>
      </c>
      <c r="C40" s="11" t="s">
        <v>239</v>
      </c>
      <c r="D40" s="11" t="s">
        <v>240</v>
      </c>
      <c r="E40" s="11" t="s">
        <v>241</v>
      </c>
      <c r="F40" s="11" t="s">
        <v>242</v>
      </c>
      <c r="G40" s="11" t="s">
        <v>243</v>
      </c>
      <c r="H40" s="11" t="s">
        <v>73</v>
      </c>
      <c r="I40" s="11" t="s">
        <v>74</v>
      </c>
      <c r="J40" s="11" t="s">
        <v>75</v>
      </c>
      <c r="K40" s="11" t="s">
        <v>82</v>
      </c>
      <c r="L40" s="13" t="n">
        <v>550</v>
      </c>
      <c r="M40" s="14"/>
      <c r="N40" s="14"/>
      <c r="O40" s="15" t="n">
        <f aca="false">IF(OR(M40="",N40=""),0,L40*M40*N40)</f>
        <v>0</v>
      </c>
    </row>
    <row r="41" customFormat="false" ht="15" hidden="false" customHeight="false" outlineLevel="0" collapsed="false">
      <c r="A41" s="11" t="n">
        <v>36</v>
      </c>
      <c r="B41" s="11" t="s">
        <v>227</v>
      </c>
      <c r="C41" s="11" t="s">
        <v>244</v>
      </c>
      <c r="D41" s="11" t="s">
        <v>245</v>
      </c>
      <c r="E41" s="11" t="s">
        <v>246</v>
      </c>
      <c r="F41" s="11" t="s">
        <v>247</v>
      </c>
      <c r="G41" s="11" t="s">
        <v>248</v>
      </c>
      <c r="H41" s="11" t="s">
        <v>249</v>
      </c>
      <c r="I41" s="11" t="s">
        <v>105</v>
      </c>
      <c r="J41" s="11" t="s">
        <v>106</v>
      </c>
      <c r="K41" s="11" t="s">
        <v>250</v>
      </c>
      <c r="L41" s="13" t="n">
        <v>500</v>
      </c>
      <c r="M41" s="14"/>
      <c r="N41" s="14"/>
      <c r="O41" s="15" t="n">
        <f aca="false">IF(OR(M41="",N41=""),0,L41*M41*N41)</f>
        <v>0</v>
      </c>
    </row>
    <row r="42" customFormat="false" ht="23.85" hidden="false" customHeight="false" outlineLevel="0" collapsed="false">
      <c r="A42" s="11" t="n">
        <v>37</v>
      </c>
      <c r="B42" s="11" t="s">
        <v>227</v>
      </c>
      <c r="C42" s="11" t="s">
        <v>251</v>
      </c>
      <c r="D42" s="11" t="s">
        <v>252</v>
      </c>
      <c r="E42" s="11" t="s">
        <v>253</v>
      </c>
      <c r="F42" s="11" t="s">
        <v>254</v>
      </c>
      <c r="G42" s="11" t="s">
        <v>255</v>
      </c>
      <c r="H42" s="11" t="s">
        <v>256</v>
      </c>
      <c r="I42" s="11" t="s">
        <v>257</v>
      </c>
      <c r="J42" s="11" t="s">
        <v>258</v>
      </c>
      <c r="K42" s="11" t="s">
        <v>259</v>
      </c>
      <c r="L42" s="13" t="n">
        <v>350</v>
      </c>
      <c r="M42" s="14"/>
      <c r="N42" s="14"/>
      <c r="O42" s="15" t="n">
        <f aca="false">IF(OR(M42="",N42=""),0,L42*M42*N42)</f>
        <v>0</v>
      </c>
    </row>
    <row r="43" customFormat="false" ht="15" hidden="false" customHeight="false" outlineLevel="0" collapsed="false">
      <c r="A43" s="11" t="n">
        <v>38</v>
      </c>
      <c r="B43" s="11" t="s">
        <v>227</v>
      </c>
      <c r="C43" s="11" t="s">
        <v>260</v>
      </c>
      <c r="D43" s="11" t="s">
        <v>261</v>
      </c>
      <c r="E43" s="11" t="s">
        <v>262</v>
      </c>
      <c r="F43" s="11" t="s">
        <v>263</v>
      </c>
      <c r="G43" s="11" t="s">
        <v>88</v>
      </c>
      <c r="H43" s="11" t="s">
        <v>120</v>
      </c>
      <c r="I43" s="11" t="s">
        <v>121</v>
      </c>
      <c r="J43" s="11" t="s">
        <v>200</v>
      </c>
      <c r="K43" s="11" t="s">
        <v>264</v>
      </c>
      <c r="L43" s="13" t="n">
        <v>150</v>
      </c>
      <c r="M43" s="14"/>
      <c r="N43" s="14"/>
      <c r="O43" s="15" t="n">
        <f aca="false">IF(OR(M43="",N43=""),0,L43*M43*N43)</f>
        <v>0</v>
      </c>
    </row>
    <row r="44" customFormat="false" ht="15" hidden="false" customHeight="false" outlineLevel="0" collapsed="false">
      <c r="A44" s="11" t="n">
        <v>39</v>
      </c>
      <c r="B44" s="11" t="s">
        <v>227</v>
      </c>
      <c r="C44" s="11" t="s">
        <v>265</v>
      </c>
      <c r="D44" s="11" t="s">
        <v>172</v>
      </c>
      <c r="E44" s="11" t="s">
        <v>266</v>
      </c>
      <c r="F44" s="11" t="s">
        <v>267</v>
      </c>
      <c r="G44" s="11" t="s">
        <v>75</v>
      </c>
      <c r="H44" s="11" t="s">
        <v>88</v>
      </c>
      <c r="I44" s="11" t="s">
        <v>120</v>
      </c>
      <c r="J44" s="11" t="s">
        <v>121</v>
      </c>
      <c r="K44" s="11" t="s">
        <v>179</v>
      </c>
      <c r="L44" s="13" t="n">
        <v>600</v>
      </c>
      <c r="M44" s="14"/>
      <c r="N44" s="14"/>
      <c r="O44" s="15" t="n">
        <f aca="false">IF(OR(M44="",N44=""),0,L44*M44*N44)</f>
        <v>0</v>
      </c>
    </row>
    <row r="45" customFormat="false" ht="15" hidden="false" customHeight="false" outlineLevel="0" collapsed="false">
      <c r="A45" s="11" t="n">
        <v>40</v>
      </c>
      <c r="B45" s="11" t="s">
        <v>227</v>
      </c>
      <c r="C45" s="11" t="s">
        <v>268</v>
      </c>
      <c r="D45" s="11" t="s">
        <v>172</v>
      </c>
      <c r="E45" s="11" t="s">
        <v>266</v>
      </c>
      <c r="F45" s="11" t="s">
        <v>269</v>
      </c>
      <c r="G45" s="11" t="s">
        <v>74</v>
      </c>
      <c r="H45" s="11" t="s">
        <v>76</v>
      </c>
      <c r="I45" s="11" t="s">
        <v>127</v>
      </c>
      <c r="J45" s="11" t="s">
        <v>120</v>
      </c>
      <c r="K45" s="11" t="s">
        <v>226</v>
      </c>
      <c r="L45" s="13" t="n">
        <v>300</v>
      </c>
      <c r="M45" s="14"/>
      <c r="N45" s="14"/>
      <c r="O45" s="15" t="n">
        <f aca="false">IF(OR(M45="",N45=""),0,L45*M45*N45)</f>
        <v>0</v>
      </c>
    </row>
    <row r="46" customFormat="false" ht="15" hidden="false" customHeight="false" outlineLevel="0" collapsed="false">
      <c r="A46" s="11" t="n">
        <v>41</v>
      </c>
      <c r="B46" s="11" t="s">
        <v>227</v>
      </c>
      <c r="C46" s="11" t="s">
        <v>270</v>
      </c>
      <c r="D46" s="11" t="s">
        <v>271</v>
      </c>
      <c r="E46" s="11" t="s">
        <v>272</v>
      </c>
      <c r="F46" s="11" t="s">
        <v>273</v>
      </c>
      <c r="G46" s="11" t="s">
        <v>159</v>
      </c>
      <c r="H46" s="11" t="s">
        <v>237</v>
      </c>
      <c r="I46" s="11" t="s">
        <v>248</v>
      </c>
      <c r="J46" s="11" t="s">
        <v>274</v>
      </c>
      <c r="K46" s="11" t="s">
        <v>275</v>
      </c>
      <c r="L46" s="13" t="n">
        <v>400</v>
      </c>
      <c r="M46" s="14"/>
      <c r="N46" s="14"/>
      <c r="O46" s="15" t="n">
        <f aca="false">IF(OR(M46="",N46=""),0,L46*M46*N46)</f>
        <v>0</v>
      </c>
    </row>
    <row r="47" customFormat="false" ht="23.85" hidden="false" customHeight="false" outlineLevel="0" collapsed="false">
      <c r="A47" s="11" t="n">
        <v>42</v>
      </c>
      <c r="B47" s="11" t="s">
        <v>227</v>
      </c>
      <c r="C47" s="11" t="s">
        <v>276</v>
      </c>
      <c r="D47" s="11" t="s">
        <v>277</v>
      </c>
      <c r="E47" s="11" t="s">
        <v>278</v>
      </c>
      <c r="F47" s="11" t="s">
        <v>279</v>
      </c>
      <c r="G47" s="11" t="s">
        <v>54</v>
      </c>
      <c r="H47" s="11" t="s">
        <v>160</v>
      </c>
      <c r="I47" s="11" t="s">
        <v>280</v>
      </c>
      <c r="J47" s="11" t="s">
        <v>281</v>
      </c>
      <c r="K47" s="11" t="s">
        <v>282</v>
      </c>
      <c r="L47" s="13" t="n">
        <v>300</v>
      </c>
      <c r="M47" s="14"/>
      <c r="N47" s="14"/>
      <c r="O47" s="15" t="n">
        <f aca="false">IF(OR(M47="",N47=""),0,L47*M47*N47)</f>
        <v>0</v>
      </c>
    </row>
    <row r="48" customFormat="false" ht="15" hidden="false" customHeight="false" outlineLevel="0" collapsed="false">
      <c r="A48" s="11" t="n">
        <v>43</v>
      </c>
      <c r="B48" s="11" t="s">
        <v>227</v>
      </c>
      <c r="C48" s="11" t="s">
        <v>283</v>
      </c>
      <c r="D48" s="11" t="s">
        <v>284</v>
      </c>
      <c r="E48" s="11" t="s">
        <v>285</v>
      </c>
      <c r="F48" s="11" t="s">
        <v>286</v>
      </c>
      <c r="G48" s="11" t="s">
        <v>121</v>
      </c>
      <c r="H48" s="11" t="s">
        <v>200</v>
      </c>
      <c r="I48" s="11" t="s">
        <v>201</v>
      </c>
      <c r="J48" s="11" t="s">
        <v>133</v>
      </c>
      <c r="K48" s="11" t="s">
        <v>287</v>
      </c>
      <c r="L48" s="13" t="n">
        <v>200</v>
      </c>
      <c r="M48" s="14"/>
      <c r="N48" s="14"/>
      <c r="O48" s="15" t="n">
        <f aca="false">IF(OR(M48="",N48=""),0,L48*M48*N48)</f>
        <v>0</v>
      </c>
    </row>
    <row r="49" customFormat="false" ht="15" hidden="false" customHeight="false" outlineLevel="0" collapsed="false">
      <c r="A49" s="11" t="n">
        <v>44</v>
      </c>
      <c r="B49" s="11" t="s">
        <v>227</v>
      </c>
      <c r="C49" s="11" t="s">
        <v>288</v>
      </c>
      <c r="D49" s="11" t="s">
        <v>261</v>
      </c>
      <c r="E49" s="11" t="s">
        <v>289</v>
      </c>
      <c r="F49" s="11" t="s">
        <v>242</v>
      </c>
      <c r="G49" s="11" t="s">
        <v>120</v>
      </c>
      <c r="H49" s="11" t="s">
        <v>121</v>
      </c>
      <c r="I49" s="11" t="s">
        <v>122</v>
      </c>
      <c r="J49" s="11" t="s">
        <v>166</v>
      </c>
      <c r="K49" s="11" t="s">
        <v>189</v>
      </c>
      <c r="L49" s="13" t="n">
        <v>-150</v>
      </c>
      <c r="M49" s="14"/>
      <c r="N49" s="14"/>
      <c r="O49" s="15" t="n">
        <f aca="false">IF(OR(M49="",N49=""),0,L49*M49*N49)</f>
        <v>0</v>
      </c>
    </row>
    <row r="50" customFormat="false" ht="15" hidden="false" customHeight="false" outlineLevel="0" collapsed="false">
      <c r="A50" s="11" t="n">
        <v>45</v>
      </c>
      <c r="B50" s="12" t="s">
        <v>290</v>
      </c>
      <c r="C50" s="11" t="s">
        <v>291</v>
      </c>
      <c r="D50" s="11" t="s">
        <v>292</v>
      </c>
      <c r="E50" s="11" t="s">
        <v>293</v>
      </c>
      <c r="F50" s="11" t="s">
        <v>294</v>
      </c>
      <c r="G50" s="11" t="s">
        <v>295</v>
      </c>
      <c r="H50" s="11" t="s">
        <v>243</v>
      </c>
      <c r="I50" s="11" t="s">
        <v>296</v>
      </c>
      <c r="J50" s="11" t="s">
        <v>297</v>
      </c>
      <c r="K50" s="11" t="s">
        <v>298</v>
      </c>
      <c r="L50" s="13" t="n">
        <v>-500</v>
      </c>
      <c r="M50" s="14"/>
      <c r="N50" s="14"/>
      <c r="O50" s="15" t="n">
        <f aca="false">IF(OR(M50="",N50=""),0,L50*M50*N50)</f>
        <v>0</v>
      </c>
    </row>
    <row r="51" customFormat="false" ht="15" hidden="false" customHeight="false" outlineLevel="0" collapsed="false">
      <c r="A51" s="11" t="n">
        <v>46</v>
      </c>
      <c r="B51" s="11" t="s">
        <v>290</v>
      </c>
      <c r="C51" s="11" t="s">
        <v>299</v>
      </c>
      <c r="D51" s="11" t="s">
        <v>300</v>
      </c>
      <c r="E51" s="11" t="s">
        <v>285</v>
      </c>
      <c r="F51" s="11" t="s">
        <v>294</v>
      </c>
      <c r="G51" s="11" t="s">
        <v>121</v>
      </c>
      <c r="H51" s="11" t="s">
        <v>200</v>
      </c>
      <c r="I51" s="11" t="s">
        <v>201</v>
      </c>
      <c r="J51" s="11" t="s">
        <v>133</v>
      </c>
      <c r="K51" s="11" t="s">
        <v>287</v>
      </c>
      <c r="L51" s="13" t="n">
        <v>-300</v>
      </c>
      <c r="M51" s="14"/>
      <c r="N51" s="14"/>
      <c r="O51" s="15" t="n">
        <f aca="false">IF(OR(M51="",N51=""),0,L51*M51*N51)</f>
        <v>0</v>
      </c>
    </row>
    <row r="52" customFormat="false" ht="15" hidden="false" customHeight="false" outlineLevel="0" collapsed="false">
      <c r="A52" s="11" t="n">
        <v>47</v>
      </c>
      <c r="B52" s="11" t="s">
        <v>290</v>
      </c>
      <c r="C52" s="11" t="s">
        <v>301</v>
      </c>
      <c r="D52" s="11" t="s">
        <v>302</v>
      </c>
      <c r="E52" s="11" t="s">
        <v>303</v>
      </c>
      <c r="F52" s="11" t="s">
        <v>294</v>
      </c>
      <c r="G52" s="11" t="s">
        <v>54</v>
      </c>
      <c r="H52" s="11" t="s">
        <v>160</v>
      </c>
      <c r="I52" s="11" t="s">
        <v>232</v>
      </c>
      <c r="J52" s="11" t="s">
        <v>233</v>
      </c>
      <c r="K52" s="11" t="s">
        <v>234</v>
      </c>
      <c r="L52" s="13" t="n">
        <v>-300</v>
      </c>
      <c r="M52" s="14"/>
      <c r="N52" s="14"/>
      <c r="O52" s="15" t="n">
        <f aca="false">IF(OR(M52="",N52=""),0,L52*M52*N52)</f>
        <v>0</v>
      </c>
    </row>
    <row r="53" customFormat="false" ht="15" hidden="false" customHeight="false" outlineLevel="0" collapsed="false">
      <c r="A53" s="11" t="n">
        <v>48</v>
      </c>
      <c r="B53" s="11" t="s">
        <v>290</v>
      </c>
      <c r="C53" s="11" t="s">
        <v>304</v>
      </c>
      <c r="D53" s="11" t="s">
        <v>305</v>
      </c>
      <c r="E53" s="11" t="s">
        <v>306</v>
      </c>
      <c r="F53" s="11" t="s">
        <v>294</v>
      </c>
      <c r="G53" s="11" t="s">
        <v>54</v>
      </c>
      <c r="H53" s="11" t="s">
        <v>160</v>
      </c>
      <c r="I53" s="11" t="s">
        <v>232</v>
      </c>
      <c r="J53" s="11" t="s">
        <v>233</v>
      </c>
      <c r="K53" s="11" t="s">
        <v>234</v>
      </c>
      <c r="L53" s="13" t="n">
        <v>300</v>
      </c>
      <c r="M53" s="14"/>
      <c r="N53" s="14"/>
      <c r="O53" s="15" t="n">
        <f aca="false">IF(OR(M53="",N53=""),0,L53*M53*N53)</f>
        <v>0</v>
      </c>
    </row>
    <row r="54" customFormat="false" ht="15" hidden="false" customHeight="false" outlineLevel="0" collapsed="false">
      <c r="A54" s="11" t="n">
        <v>49</v>
      </c>
      <c r="B54" s="11" t="s">
        <v>290</v>
      </c>
      <c r="C54" s="11" t="s">
        <v>307</v>
      </c>
      <c r="D54" s="11" t="s">
        <v>308</v>
      </c>
      <c r="E54" s="11" t="s">
        <v>309</v>
      </c>
      <c r="F54" s="11" t="s">
        <v>310</v>
      </c>
      <c r="G54" s="11" t="s">
        <v>311</v>
      </c>
      <c r="H54" s="11" t="s">
        <v>174</v>
      </c>
      <c r="I54" s="11" t="s">
        <v>178</v>
      </c>
      <c r="J54" s="11" t="s">
        <v>312</v>
      </c>
      <c r="K54" s="11" t="s">
        <v>179</v>
      </c>
      <c r="L54" s="13" t="n">
        <v>-250</v>
      </c>
      <c r="M54" s="14"/>
      <c r="N54" s="14"/>
      <c r="O54" s="15" t="n">
        <f aca="false">IF(OR(M54="",N54=""),0,L54*M54*N54)</f>
        <v>0</v>
      </c>
    </row>
    <row r="55" customFormat="false" ht="23.85" hidden="false" customHeight="false" outlineLevel="0" collapsed="false">
      <c r="A55" s="11" t="n">
        <v>50</v>
      </c>
      <c r="B55" s="11" t="s">
        <v>290</v>
      </c>
      <c r="C55" s="11" t="s">
        <v>313</v>
      </c>
      <c r="D55" s="11" t="s">
        <v>314</v>
      </c>
      <c r="E55" s="11" t="s">
        <v>315</v>
      </c>
      <c r="F55" s="11" t="s">
        <v>316</v>
      </c>
      <c r="G55" s="11" t="s">
        <v>317</v>
      </c>
      <c r="H55" s="11" t="s">
        <v>318</v>
      </c>
      <c r="I55" s="11" t="s">
        <v>319</v>
      </c>
      <c r="J55" s="11" t="s">
        <v>320</v>
      </c>
      <c r="K55" s="11" t="s">
        <v>321</v>
      </c>
      <c r="L55" s="13" t="n">
        <v>-200</v>
      </c>
      <c r="M55" s="14"/>
      <c r="N55" s="14"/>
      <c r="O55" s="15" t="n">
        <f aca="false">IF(OR(M55="",N55=""),0,L55*M55*N55)</f>
        <v>0</v>
      </c>
    </row>
    <row r="56" customFormat="false" ht="15" hidden="false" customHeight="false" outlineLevel="0" collapsed="false">
      <c r="A56" s="11" t="n">
        <v>51</v>
      </c>
      <c r="B56" s="11" t="s">
        <v>290</v>
      </c>
      <c r="C56" s="11" t="s">
        <v>322</v>
      </c>
      <c r="D56" s="11" t="s">
        <v>323</v>
      </c>
      <c r="E56" s="11" t="s">
        <v>324</v>
      </c>
      <c r="F56" s="11" t="s">
        <v>325</v>
      </c>
      <c r="G56" s="11" t="s">
        <v>113</v>
      </c>
      <c r="H56" s="11" t="s">
        <v>144</v>
      </c>
      <c r="I56" s="11" t="s">
        <v>114</v>
      </c>
      <c r="J56" s="11" t="s">
        <v>311</v>
      </c>
      <c r="K56" s="11" t="s">
        <v>115</v>
      </c>
      <c r="L56" s="13" t="n">
        <v>-250</v>
      </c>
      <c r="M56" s="14"/>
      <c r="N56" s="14"/>
      <c r="O56" s="15" t="n">
        <f aca="false">IF(OR(M56="",N56=""),0,L56*M56*N56)</f>
        <v>0</v>
      </c>
    </row>
    <row r="57" customFormat="false" ht="15" hidden="false" customHeight="false" outlineLevel="0" collapsed="false">
      <c r="A57" s="11" t="n">
        <v>52</v>
      </c>
      <c r="B57" s="11" t="s">
        <v>290</v>
      </c>
      <c r="C57" s="11" t="s">
        <v>326</v>
      </c>
      <c r="D57" s="11" t="s">
        <v>327</v>
      </c>
      <c r="E57" s="11" t="s">
        <v>328</v>
      </c>
      <c r="F57" s="11" t="s">
        <v>329</v>
      </c>
      <c r="G57" s="11" t="s">
        <v>121</v>
      </c>
      <c r="H57" s="11" t="s">
        <v>200</v>
      </c>
      <c r="I57" s="11" t="s">
        <v>201</v>
      </c>
      <c r="J57" s="11" t="s">
        <v>133</v>
      </c>
      <c r="K57" s="11" t="s">
        <v>287</v>
      </c>
      <c r="L57" s="13" t="n">
        <v>-250</v>
      </c>
      <c r="M57" s="14"/>
      <c r="N57" s="14"/>
      <c r="O57" s="15" t="n">
        <f aca="false">IF(OR(M57="",N57=""),0,L57*M57*N57)</f>
        <v>0</v>
      </c>
    </row>
    <row r="58" customFormat="false" ht="15" hidden="false" customHeight="false" outlineLevel="0" collapsed="false">
      <c r="A58" s="11" t="n">
        <v>53</v>
      </c>
      <c r="B58" s="11" t="s">
        <v>290</v>
      </c>
      <c r="C58" s="11" t="s">
        <v>330</v>
      </c>
      <c r="D58" s="11" t="s">
        <v>331</v>
      </c>
      <c r="E58" s="11" t="s">
        <v>332</v>
      </c>
      <c r="F58" s="11" t="s">
        <v>333</v>
      </c>
      <c r="G58" s="11" t="s">
        <v>132</v>
      </c>
      <c r="H58" s="11" t="s">
        <v>334</v>
      </c>
      <c r="I58" s="11" t="s">
        <v>133</v>
      </c>
      <c r="J58" s="11" t="s">
        <v>134</v>
      </c>
      <c r="K58" s="11" t="s">
        <v>135</v>
      </c>
      <c r="L58" s="13" t="n">
        <v>200</v>
      </c>
      <c r="M58" s="14"/>
      <c r="N58" s="14"/>
      <c r="O58" s="15" t="n">
        <f aca="false">IF(OR(M58="",N58=""),0,L58*M58*N58)</f>
        <v>0</v>
      </c>
    </row>
    <row r="59" customFormat="false" ht="23.85" hidden="false" customHeight="false" outlineLevel="0" collapsed="false">
      <c r="A59" s="11" t="n">
        <v>54</v>
      </c>
      <c r="B59" s="11" t="s">
        <v>290</v>
      </c>
      <c r="C59" s="11" t="s">
        <v>335</v>
      </c>
      <c r="D59" s="11" t="s">
        <v>336</v>
      </c>
      <c r="E59" s="11" t="s">
        <v>337</v>
      </c>
      <c r="F59" s="11" t="s">
        <v>338</v>
      </c>
      <c r="G59" s="11" t="s">
        <v>339</v>
      </c>
      <c r="H59" s="11" t="s">
        <v>340</v>
      </c>
      <c r="I59" s="11" t="s">
        <v>341</v>
      </c>
      <c r="J59" s="11" t="s">
        <v>342</v>
      </c>
      <c r="K59" s="11" t="s">
        <v>343</v>
      </c>
      <c r="L59" s="13" t="n">
        <v>250</v>
      </c>
      <c r="M59" s="14"/>
      <c r="N59" s="14"/>
      <c r="O59" s="15" t="n">
        <f aca="false">IF(OR(M59="",N59=""),0,L59*M59*N59)</f>
        <v>0</v>
      </c>
    </row>
    <row r="60" customFormat="false" ht="15" hidden="false" customHeight="false" outlineLevel="0" collapsed="false">
      <c r="A60" s="11" t="n">
        <v>55</v>
      </c>
      <c r="B60" s="11" t="s">
        <v>290</v>
      </c>
      <c r="C60" s="11" t="s">
        <v>344</v>
      </c>
      <c r="D60" s="11" t="s">
        <v>345</v>
      </c>
      <c r="E60" s="11" t="s">
        <v>346</v>
      </c>
      <c r="F60" s="11" t="s">
        <v>347</v>
      </c>
      <c r="G60" s="11" t="s">
        <v>120</v>
      </c>
      <c r="H60" s="11" t="s">
        <v>121</v>
      </c>
      <c r="I60" s="11" t="s">
        <v>200</v>
      </c>
      <c r="J60" s="11" t="s">
        <v>132</v>
      </c>
      <c r="K60" s="11" t="s">
        <v>202</v>
      </c>
      <c r="L60" s="13" t="n">
        <v>300</v>
      </c>
      <c r="M60" s="14"/>
      <c r="N60" s="14"/>
      <c r="O60" s="15" t="n">
        <f aca="false">IF(OR(M60="",N60=""),0,L60*M60*N60)</f>
        <v>0</v>
      </c>
    </row>
    <row r="61" customFormat="false" ht="23.85" hidden="false" customHeight="false" outlineLevel="0" collapsed="false">
      <c r="A61" s="11" t="n">
        <v>56</v>
      </c>
      <c r="B61" s="11" t="s">
        <v>290</v>
      </c>
      <c r="C61" s="11" t="s">
        <v>348</v>
      </c>
      <c r="D61" s="11" t="s">
        <v>349</v>
      </c>
      <c r="E61" s="11" t="s">
        <v>350</v>
      </c>
      <c r="F61" s="11" t="s">
        <v>351</v>
      </c>
      <c r="G61" s="11" t="s">
        <v>352</v>
      </c>
      <c r="H61" s="11" t="s">
        <v>353</v>
      </c>
      <c r="I61" s="11" t="s">
        <v>354</v>
      </c>
      <c r="J61" s="11" t="s">
        <v>355</v>
      </c>
      <c r="K61" s="11" t="s">
        <v>356</v>
      </c>
      <c r="L61" s="13" t="n">
        <v>150</v>
      </c>
      <c r="M61" s="14"/>
      <c r="N61" s="14"/>
      <c r="O61" s="15" t="n">
        <f aca="false">IF(OR(M61="",N61=""),0,L61*M61*N61)</f>
        <v>0</v>
      </c>
    </row>
    <row r="62" customFormat="false" ht="15" hidden="false" customHeight="false" outlineLevel="0" collapsed="false">
      <c r="A62" s="11" t="n">
        <v>57</v>
      </c>
      <c r="B62" s="12" t="s">
        <v>357</v>
      </c>
      <c r="C62" s="11" t="s">
        <v>358</v>
      </c>
      <c r="D62" s="11" t="s">
        <v>359</v>
      </c>
      <c r="E62" s="11" t="s">
        <v>360</v>
      </c>
      <c r="F62" s="11" t="s">
        <v>361</v>
      </c>
      <c r="G62" s="11" t="s">
        <v>352</v>
      </c>
      <c r="H62" s="11" t="s">
        <v>353</v>
      </c>
      <c r="I62" s="11" t="s">
        <v>354</v>
      </c>
      <c r="J62" s="11" t="s">
        <v>362</v>
      </c>
      <c r="K62" s="11" t="s">
        <v>363</v>
      </c>
      <c r="L62" s="13" t="n">
        <v>-600</v>
      </c>
      <c r="M62" s="14"/>
      <c r="N62" s="14"/>
      <c r="O62" s="15" t="n">
        <f aca="false">IF(OR(M62="",N62=""),0,L62*M62*N62)</f>
        <v>0</v>
      </c>
    </row>
    <row r="63" customFormat="false" ht="15" hidden="false" customHeight="false" outlineLevel="0" collapsed="false">
      <c r="A63" s="11" t="n">
        <v>58</v>
      </c>
      <c r="B63" s="11" t="s">
        <v>357</v>
      </c>
      <c r="C63" s="11" t="s">
        <v>364</v>
      </c>
      <c r="D63" s="11" t="s">
        <v>365</v>
      </c>
      <c r="E63" s="11" t="s">
        <v>360</v>
      </c>
      <c r="F63" s="11" t="s">
        <v>361</v>
      </c>
      <c r="G63" s="11" t="s">
        <v>352</v>
      </c>
      <c r="H63" s="11" t="s">
        <v>353</v>
      </c>
      <c r="I63" s="11" t="s">
        <v>354</v>
      </c>
      <c r="J63" s="11" t="s">
        <v>362</v>
      </c>
      <c r="K63" s="11" t="s">
        <v>363</v>
      </c>
      <c r="L63" s="13" t="n">
        <v>350</v>
      </c>
      <c r="M63" s="14"/>
      <c r="N63" s="14"/>
      <c r="O63" s="15" t="n">
        <f aca="false">IF(OR(M63="",N63=""),0,L63*M63*N63)</f>
        <v>0</v>
      </c>
    </row>
    <row r="64" customFormat="false" ht="15" hidden="false" customHeight="false" outlineLevel="0" collapsed="false">
      <c r="A64" s="11" t="n">
        <v>59</v>
      </c>
      <c r="B64" s="11" t="s">
        <v>357</v>
      </c>
      <c r="C64" s="11" t="s">
        <v>366</v>
      </c>
      <c r="D64" s="11" t="s">
        <v>367</v>
      </c>
      <c r="E64" s="11" t="s">
        <v>368</v>
      </c>
      <c r="F64" s="11" t="s">
        <v>242</v>
      </c>
      <c r="G64" s="11" t="s">
        <v>249</v>
      </c>
      <c r="H64" s="11" t="s">
        <v>105</v>
      </c>
      <c r="I64" s="11" t="s">
        <v>106</v>
      </c>
      <c r="J64" s="11" t="s">
        <v>107</v>
      </c>
      <c r="K64" s="11" t="s">
        <v>369</v>
      </c>
      <c r="L64" s="13" t="n">
        <v>250</v>
      </c>
      <c r="M64" s="14"/>
      <c r="N64" s="14"/>
      <c r="O64" s="15" t="n">
        <f aca="false">IF(OR(M64="",N64=""),0,L64*M64*N64)</f>
        <v>0</v>
      </c>
    </row>
    <row r="65" customFormat="false" ht="15" hidden="false" customHeight="false" outlineLevel="0" collapsed="false">
      <c r="A65" s="11" t="n">
        <v>60</v>
      </c>
      <c r="B65" s="11" t="s">
        <v>357</v>
      </c>
      <c r="C65" s="11" t="s">
        <v>370</v>
      </c>
      <c r="D65" s="11" t="s">
        <v>371</v>
      </c>
      <c r="E65" s="11" t="s">
        <v>372</v>
      </c>
      <c r="F65" s="11" t="s">
        <v>373</v>
      </c>
      <c r="G65" s="11" t="s">
        <v>374</v>
      </c>
      <c r="H65" s="11" t="s">
        <v>375</v>
      </c>
      <c r="I65" s="11" t="s">
        <v>105</v>
      </c>
      <c r="J65" s="11" t="s">
        <v>106</v>
      </c>
      <c r="K65" s="11" t="s">
        <v>250</v>
      </c>
      <c r="L65" s="13" t="n">
        <v>-550</v>
      </c>
      <c r="M65" s="14"/>
      <c r="N65" s="14"/>
      <c r="O65" s="15" t="n">
        <f aca="false">IF(OR(M65="",N65=""),0,L65*M65*N65)</f>
        <v>0</v>
      </c>
    </row>
    <row r="66" customFormat="false" ht="15" hidden="false" customHeight="false" outlineLevel="0" collapsed="false">
      <c r="A66" s="11" t="n">
        <v>61</v>
      </c>
      <c r="B66" s="11" t="s">
        <v>357</v>
      </c>
      <c r="C66" s="11" t="s">
        <v>376</v>
      </c>
      <c r="D66" s="11" t="s">
        <v>377</v>
      </c>
      <c r="E66" s="11" t="s">
        <v>378</v>
      </c>
      <c r="F66" s="11" t="s">
        <v>242</v>
      </c>
      <c r="G66" s="11" t="s">
        <v>159</v>
      </c>
      <c r="H66" s="11" t="s">
        <v>232</v>
      </c>
      <c r="I66" s="11" t="s">
        <v>233</v>
      </c>
      <c r="J66" s="11" t="s">
        <v>274</v>
      </c>
      <c r="K66" s="11" t="s">
        <v>275</v>
      </c>
      <c r="L66" s="13" t="n">
        <v>-300</v>
      </c>
      <c r="M66" s="14"/>
      <c r="N66" s="14"/>
      <c r="O66" s="15" t="n">
        <f aca="false">IF(OR(M66="",N66=""),0,L66*M66*N66)</f>
        <v>0</v>
      </c>
    </row>
    <row r="67" customFormat="false" ht="23.85" hidden="false" customHeight="false" outlineLevel="0" collapsed="false">
      <c r="A67" s="11" t="n">
        <v>62</v>
      </c>
      <c r="B67" s="11" t="s">
        <v>357</v>
      </c>
      <c r="C67" s="11" t="s">
        <v>379</v>
      </c>
      <c r="D67" s="11" t="s">
        <v>172</v>
      </c>
      <c r="E67" s="11" t="s">
        <v>380</v>
      </c>
      <c r="F67" s="11" t="s">
        <v>381</v>
      </c>
      <c r="G67" s="11" t="s">
        <v>121</v>
      </c>
      <c r="H67" s="11" t="s">
        <v>200</v>
      </c>
      <c r="I67" s="11" t="s">
        <v>201</v>
      </c>
      <c r="J67" s="11" t="s">
        <v>133</v>
      </c>
      <c r="K67" s="11" t="s">
        <v>287</v>
      </c>
      <c r="L67" s="13" t="n">
        <v>100</v>
      </c>
      <c r="M67" s="14"/>
      <c r="N67" s="14"/>
      <c r="O67" s="15" t="n">
        <f aca="false">IF(OR(M67="",N67=""),0,L67*M67*N67)</f>
        <v>0</v>
      </c>
    </row>
    <row r="68" customFormat="false" ht="15" hidden="false" customHeight="false" outlineLevel="0" collapsed="false">
      <c r="A68" s="11" t="n">
        <v>63</v>
      </c>
      <c r="B68" s="11" t="s">
        <v>357</v>
      </c>
      <c r="C68" s="11" t="s">
        <v>382</v>
      </c>
      <c r="D68" s="11" t="s">
        <v>172</v>
      </c>
      <c r="E68" s="11" t="s">
        <v>383</v>
      </c>
      <c r="F68" s="11" t="s">
        <v>384</v>
      </c>
      <c r="G68" s="11" t="s">
        <v>120</v>
      </c>
      <c r="H68" s="11" t="s">
        <v>121</v>
      </c>
      <c r="I68" s="11" t="s">
        <v>200</v>
      </c>
      <c r="J68" s="11" t="s">
        <v>132</v>
      </c>
      <c r="K68" s="11" t="s">
        <v>202</v>
      </c>
      <c r="L68" s="13" t="n">
        <v>50</v>
      </c>
      <c r="M68" s="14"/>
      <c r="N68" s="14"/>
      <c r="O68" s="15" t="n">
        <f aca="false">IF(OR(M68="",N68=""),0,L68*M68*N68)</f>
        <v>0</v>
      </c>
    </row>
    <row r="69" customFormat="false" ht="23.85" hidden="false" customHeight="false" outlineLevel="0" collapsed="false">
      <c r="A69" s="11" t="n">
        <v>64</v>
      </c>
      <c r="B69" s="11" t="s">
        <v>357</v>
      </c>
      <c r="C69" s="11" t="s">
        <v>385</v>
      </c>
      <c r="D69" s="11" t="s">
        <v>386</v>
      </c>
      <c r="E69" s="11" t="s">
        <v>387</v>
      </c>
      <c r="F69" s="11" t="s">
        <v>388</v>
      </c>
      <c r="G69" s="11" t="s">
        <v>389</v>
      </c>
      <c r="H69" s="11" t="s">
        <v>390</v>
      </c>
      <c r="I69" s="11" t="s">
        <v>391</v>
      </c>
      <c r="J69" s="11" t="s">
        <v>392</v>
      </c>
      <c r="K69" s="11" t="s">
        <v>393</v>
      </c>
      <c r="L69" s="13" t="n">
        <v>350</v>
      </c>
      <c r="M69" s="14"/>
      <c r="N69" s="14"/>
      <c r="O69" s="15" t="n">
        <f aca="false">IF(OR(M69="",N69=""),0,L69*M69*N69)</f>
        <v>0</v>
      </c>
    </row>
    <row r="70" customFormat="false" ht="15" hidden="false" customHeight="false" outlineLevel="0" collapsed="false">
      <c r="A70" s="11" t="n">
        <v>65</v>
      </c>
      <c r="B70" s="11" t="s">
        <v>357</v>
      </c>
      <c r="C70" s="11" t="s">
        <v>394</v>
      </c>
      <c r="D70" s="11" t="s">
        <v>395</v>
      </c>
      <c r="E70" s="11" t="s">
        <v>396</v>
      </c>
      <c r="F70" s="11" t="s">
        <v>397</v>
      </c>
      <c r="G70" s="11" t="s">
        <v>121</v>
      </c>
      <c r="H70" s="11" t="s">
        <v>122</v>
      </c>
      <c r="I70" s="11" t="s">
        <v>200</v>
      </c>
      <c r="J70" s="11" t="s">
        <v>166</v>
      </c>
      <c r="K70" s="11" t="s">
        <v>398</v>
      </c>
      <c r="L70" s="13" t="n">
        <v>-300</v>
      </c>
      <c r="M70" s="14"/>
      <c r="N70" s="14"/>
      <c r="O70" s="15" t="n">
        <f aca="false">IF(OR(M70="",N70=""),0,L70*M70*N70)</f>
        <v>0</v>
      </c>
    </row>
    <row r="71" customFormat="false" ht="15" hidden="false" customHeight="false" outlineLevel="0" collapsed="false">
      <c r="A71" s="11" t="n">
        <v>66</v>
      </c>
      <c r="B71" s="11" t="s">
        <v>357</v>
      </c>
      <c r="C71" s="11" t="s">
        <v>399</v>
      </c>
      <c r="D71" s="11" t="s">
        <v>400</v>
      </c>
      <c r="E71" s="11" t="s">
        <v>401</v>
      </c>
      <c r="F71" s="11" t="s">
        <v>402</v>
      </c>
      <c r="G71" s="11" t="s">
        <v>403</v>
      </c>
      <c r="H71" s="11" t="s">
        <v>404</v>
      </c>
      <c r="I71" s="11" t="s">
        <v>405</v>
      </c>
      <c r="J71" s="11" t="s">
        <v>406</v>
      </c>
      <c r="K71" s="11" t="s">
        <v>407</v>
      </c>
      <c r="L71" s="13" t="n">
        <v>250</v>
      </c>
      <c r="M71" s="14"/>
      <c r="N71" s="14"/>
      <c r="O71" s="15" t="n">
        <f aca="false">IF(OR(M71="",N71=""),0,L71*M71*N71)</f>
        <v>0</v>
      </c>
    </row>
    <row r="72" customFormat="false" ht="15" hidden="false" customHeight="false" outlineLevel="0" collapsed="false">
      <c r="A72" s="11" t="n">
        <v>67</v>
      </c>
      <c r="B72" s="11" t="s">
        <v>357</v>
      </c>
      <c r="C72" s="11" t="s">
        <v>408</v>
      </c>
      <c r="D72" s="11" t="s">
        <v>409</v>
      </c>
      <c r="E72" s="11" t="s">
        <v>410</v>
      </c>
      <c r="F72" s="11" t="s">
        <v>411</v>
      </c>
      <c r="G72" s="11" t="s">
        <v>88</v>
      </c>
      <c r="H72" s="11" t="s">
        <v>412</v>
      </c>
      <c r="I72" s="11" t="s">
        <v>127</v>
      </c>
      <c r="J72" s="11" t="s">
        <v>113</v>
      </c>
      <c r="K72" s="11" t="s">
        <v>413</v>
      </c>
      <c r="L72" s="13" t="n">
        <v>-250</v>
      </c>
      <c r="M72" s="14"/>
      <c r="N72" s="14"/>
      <c r="O72" s="15" t="n">
        <f aca="false">IF(OR(M72="",N72=""),0,L72*M72*N72)</f>
        <v>0</v>
      </c>
    </row>
    <row r="73" customFormat="false" ht="23.85" hidden="false" customHeight="false" outlineLevel="0" collapsed="false">
      <c r="A73" s="11" t="n">
        <v>68</v>
      </c>
      <c r="B73" s="11" t="s">
        <v>357</v>
      </c>
      <c r="C73" s="11" t="s">
        <v>414</v>
      </c>
      <c r="D73" s="11" t="s">
        <v>415</v>
      </c>
      <c r="E73" s="11" t="s">
        <v>416</v>
      </c>
      <c r="F73" s="11" t="s">
        <v>411</v>
      </c>
      <c r="G73" s="11" t="s">
        <v>105</v>
      </c>
      <c r="H73" s="11" t="s">
        <v>106</v>
      </c>
      <c r="I73" s="11" t="s">
        <v>107</v>
      </c>
      <c r="J73" s="11" t="s">
        <v>417</v>
      </c>
      <c r="K73" s="11" t="s">
        <v>418</v>
      </c>
      <c r="L73" s="13" t="n">
        <v>-450</v>
      </c>
      <c r="M73" s="14"/>
      <c r="N73" s="14"/>
      <c r="O73" s="15" t="n">
        <f aca="false">IF(OR(M73="",N73=""),0,L73*M73*N73)</f>
        <v>0</v>
      </c>
    </row>
    <row r="74" customFormat="false" ht="15" hidden="false" customHeight="false" outlineLevel="0" collapsed="false">
      <c r="A74" s="11" t="n">
        <v>69</v>
      </c>
      <c r="B74" s="11" t="s">
        <v>357</v>
      </c>
      <c r="C74" s="11" t="s">
        <v>419</v>
      </c>
      <c r="D74" s="11" t="s">
        <v>420</v>
      </c>
      <c r="E74" s="11" t="s">
        <v>421</v>
      </c>
      <c r="F74" s="11" t="s">
        <v>422</v>
      </c>
      <c r="G74" s="11" t="s">
        <v>248</v>
      </c>
      <c r="H74" s="11" t="s">
        <v>374</v>
      </c>
      <c r="I74" s="11" t="s">
        <v>105</v>
      </c>
      <c r="J74" s="11" t="s">
        <v>106</v>
      </c>
      <c r="K74" s="11" t="s">
        <v>250</v>
      </c>
      <c r="L74" s="13" t="n">
        <v>-400</v>
      </c>
      <c r="M74" s="14"/>
      <c r="N74" s="14"/>
      <c r="O74" s="15" t="n">
        <f aca="false">IF(OR(M74="",N74=""),0,L74*M74*N74)</f>
        <v>0</v>
      </c>
    </row>
    <row r="75" customFormat="false" ht="15" hidden="false" customHeight="false" outlineLevel="0" collapsed="false">
      <c r="A75" s="11" t="n">
        <v>70</v>
      </c>
      <c r="B75" s="11" t="s">
        <v>357</v>
      </c>
      <c r="C75" s="11" t="s">
        <v>423</v>
      </c>
      <c r="D75" s="11" t="s">
        <v>172</v>
      </c>
      <c r="E75" s="11" t="s">
        <v>424</v>
      </c>
      <c r="F75" s="11" t="s">
        <v>425</v>
      </c>
      <c r="G75" s="11" t="s">
        <v>166</v>
      </c>
      <c r="H75" s="11" t="s">
        <v>133</v>
      </c>
      <c r="I75" s="11" t="s">
        <v>167</v>
      </c>
      <c r="J75" s="11" t="s">
        <v>426</v>
      </c>
      <c r="K75" s="11" t="s">
        <v>169</v>
      </c>
      <c r="L75" s="13" t="n">
        <v>100</v>
      </c>
      <c r="M75" s="14"/>
      <c r="N75" s="14"/>
      <c r="O75" s="15" t="n">
        <f aca="false">IF(OR(M75="",N75=""),0,L75*M75*N75)</f>
        <v>0</v>
      </c>
    </row>
    <row r="76" customFormat="false" ht="15" hidden="false" customHeight="false" outlineLevel="0" collapsed="false">
      <c r="A76" s="11" t="n">
        <v>71</v>
      </c>
      <c r="B76" s="11" t="s">
        <v>357</v>
      </c>
      <c r="C76" s="11" t="s">
        <v>427</v>
      </c>
      <c r="D76" s="11" t="s">
        <v>428</v>
      </c>
      <c r="E76" s="11" t="s">
        <v>424</v>
      </c>
      <c r="F76" s="11" t="s">
        <v>384</v>
      </c>
      <c r="G76" s="11" t="s">
        <v>167</v>
      </c>
      <c r="H76" s="11" t="s">
        <v>54</v>
      </c>
      <c r="I76" s="11" t="s">
        <v>159</v>
      </c>
      <c r="J76" s="11" t="s">
        <v>429</v>
      </c>
      <c r="K76" s="11" t="s">
        <v>430</v>
      </c>
      <c r="L76" s="13" t="n">
        <v>80</v>
      </c>
      <c r="M76" s="14"/>
      <c r="N76" s="14"/>
      <c r="O76" s="15" t="n">
        <f aca="false">IF(OR(M76="",N76=""),0,L76*M76*N76)</f>
        <v>0</v>
      </c>
    </row>
    <row r="77" customFormat="false" ht="23.85" hidden="false" customHeight="false" outlineLevel="0" collapsed="false">
      <c r="A77" s="11" t="n">
        <v>72</v>
      </c>
      <c r="B77" s="11" t="s">
        <v>357</v>
      </c>
      <c r="C77" s="11" t="s">
        <v>431</v>
      </c>
      <c r="D77" s="11" t="s">
        <v>432</v>
      </c>
      <c r="E77" s="11" t="s">
        <v>433</v>
      </c>
      <c r="F77" s="11" t="s">
        <v>434</v>
      </c>
      <c r="G77" s="11" t="s">
        <v>248</v>
      </c>
      <c r="H77" s="11" t="s">
        <v>249</v>
      </c>
      <c r="I77" s="11" t="s">
        <v>105</v>
      </c>
      <c r="J77" s="11" t="s">
        <v>106</v>
      </c>
      <c r="K77" s="11" t="s">
        <v>250</v>
      </c>
      <c r="L77" s="13" t="n">
        <v>-600</v>
      </c>
      <c r="M77" s="14"/>
      <c r="N77" s="14"/>
      <c r="O77" s="15" t="n">
        <f aca="false">IF(OR(M77="",N77=""),0,L77*M77*N77)</f>
        <v>0</v>
      </c>
    </row>
    <row r="78" customFormat="false" ht="23.85" hidden="false" customHeight="false" outlineLevel="0" collapsed="false">
      <c r="A78" s="11" t="n">
        <v>73</v>
      </c>
      <c r="B78" s="12" t="s">
        <v>435</v>
      </c>
      <c r="C78" s="11" t="s">
        <v>436</v>
      </c>
      <c r="D78" s="11" t="s">
        <v>437</v>
      </c>
      <c r="E78" s="11" t="s">
        <v>438</v>
      </c>
      <c r="F78" s="11" t="s">
        <v>439</v>
      </c>
      <c r="G78" s="11" t="s">
        <v>440</v>
      </c>
      <c r="H78" s="11" t="s">
        <v>441</v>
      </c>
      <c r="I78" s="11" t="s">
        <v>442</v>
      </c>
      <c r="J78" s="11" t="s">
        <v>443</v>
      </c>
      <c r="K78" s="11" t="s">
        <v>444</v>
      </c>
      <c r="L78" s="13" t="n">
        <v>550</v>
      </c>
      <c r="M78" s="14"/>
      <c r="N78" s="14"/>
      <c r="O78" s="15" t="n">
        <f aca="false">IF(OR(M78="",N78=""),0,L78*M78*N78)</f>
        <v>0</v>
      </c>
    </row>
    <row r="79" customFormat="false" ht="15" hidden="false" customHeight="false" outlineLevel="0" collapsed="false">
      <c r="A79" s="11" t="n">
        <v>74</v>
      </c>
      <c r="B79" s="11" t="s">
        <v>435</v>
      </c>
      <c r="C79" s="11" t="s">
        <v>445</v>
      </c>
      <c r="D79" s="11" t="s">
        <v>446</v>
      </c>
      <c r="E79" s="11" t="s">
        <v>447</v>
      </c>
      <c r="F79" s="11" t="s">
        <v>448</v>
      </c>
      <c r="G79" s="11" t="s">
        <v>449</v>
      </c>
      <c r="H79" s="11" t="s">
        <v>450</v>
      </c>
      <c r="I79" s="11" t="s">
        <v>451</v>
      </c>
      <c r="J79" s="11" t="s">
        <v>452</v>
      </c>
      <c r="K79" s="11" t="s">
        <v>453</v>
      </c>
      <c r="L79" s="13" t="n">
        <v>600</v>
      </c>
      <c r="M79" s="14"/>
      <c r="N79" s="14"/>
      <c r="O79" s="15" t="n">
        <f aca="false">IF(OR(M79="",N79=""),0,L79*M79*N79)</f>
        <v>0</v>
      </c>
    </row>
    <row r="80" customFormat="false" ht="23.85" hidden="false" customHeight="false" outlineLevel="0" collapsed="false">
      <c r="A80" s="11" t="n">
        <v>75</v>
      </c>
      <c r="B80" s="11" t="s">
        <v>435</v>
      </c>
      <c r="C80" s="11" t="s">
        <v>454</v>
      </c>
      <c r="D80" s="11" t="s">
        <v>455</v>
      </c>
      <c r="E80" s="11" t="s">
        <v>456</v>
      </c>
      <c r="F80" s="11" t="s">
        <v>457</v>
      </c>
      <c r="G80" s="11" t="s">
        <v>458</v>
      </c>
      <c r="H80" s="11" t="s">
        <v>459</v>
      </c>
      <c r="I80" s="11" t="s">
        <v>460</v>
      </c>
      <c r="J80" s="11" t="s">
        <v>461</v>
      </c>
      <c r="K80" s="11" t="s">
        <v>462</v>
      </c>
      <c r="L80" s="13" t="n">
        <v>750</v>
      </c>
      <c r="M80" s="14"/>
      <c r="N80" s="14"/>
      <c r="O80" s="15" t="n">
        <f aca="false">IF(OR(M80="",N80=""),0,L80*M80*N80)</f>
        <v>0</v>
      </c>
    </row>
    <row r="81" customFormat="false" ht="23.85" hidden="false" customHeight="false" outlineLevel="0" collapsed="false">
      <c r="A81" s="11" t="n">
        <v>76</v>
      </c>
      <c r="B81" s="11" t="s">
        <v>435</v>
      </c>
      <c r="C81" s="11" t="s">
        <v>463</v>
      </c>
      <c r="D81" s="11" t="s">
        <v>464</v>
      </c>
      <c r="E81" s="11" t="s">
        <v>465</v>
      </c>
      <c r="F81" s="11" t="s">
        <v>466</v>
      </c>
      <c r="G81" s="11" t="s">
        <v>467</v>
      </c>
      <c r="H81" s="11" t="s">
        <v>468</v>
      </c>
      <c r="I81" s="11" t="s">
        <v>469</v>
      </c>
      <c r="J81" s="11" t="s">
        <v>470</v>
      </c>
      <c r="K81" s="11" t="s">
        <v>471</v>
      </c>
      <c r="L81" s="13" t="n">
        <v>450</v>
      </c>
      <c r="M81" s="14"/>
      <c r="N81" s="14"/>
      <c r="O81" s="15" t="n">
        <f aca="false">IF(OR(M81="",N81=""),0,L81*M81*N81)</f>
        <v>0</v>
      </c>
    </row>
    <row r="82" customFormat="false" ht="23.85" hidden="false" customHeight="false" outlineLevel="0" collapsed="false">
      <c r="A82" s="11" t="n">
        <v>77</v>
      </c>
      <c r="B82" s="11" t="s">
        <v>435</v>
      </c>
      <c r="C82" s="11" t="s">
        <v>472</v>
      </c>
      <c r="D82" s="11" t="s">
        <v>473</v>
      </c>
      <c r="E82" s="11" t="s">
        <v>474</v>
      </c>
      <c r="F82" s="11" t="s">
        <v>475</v>
      </c>
      <c r="G82" s="11" t="s">
        <v>476</v>
      </c>
      <c r="H82" s="11" t="s">
        <v>477</v>
      </c>
      <c r="I82" s="11" t="s">
        <v>478</v>
      </c>
      <c r="J82" s="11" t="s">
        <v>479</v>
      </c>
      <c r="K82" s="11" t="s">
        <v>480</v>
      </c>
      <c r="L82" s="13" t="n">
        <v>-750</v>
      </c>
      <c r="M82" s="14"/>
      <c r="N82" s="14"/>
      <c r="O82" s="15" t="n">
        <f aca="false">IF(OR(M82="",N82=""),0,L82*M82*N82)</f>
        <v>0</v>
      </c>
    </row>
    <row r="83" customFormat="false" ht="23.85" hidden="false" customHeight="false" outlineLevel="0" collapsed="false">
      <c r="A83" s="11" t="n">
        <v>78</v>
      </c>
      <c r="B83" s="11" t="s">
        <v>435</v>
      </c>
      <c r="C83" s="11" t="s">
        <v>481</v>
      </c>
      <c r="D83" s="11" t="s">
        <v>482</v>
      </c>
      <c r="E83" s="11" t="s">
        <v>474</v>
      </c>
      <c r="F83" s="11" t="s">
        <v>483</v>
      </c>
      <c r="G83" s="11" t="s">
        <v>484</v>
      </c>
      <c r="H83" s="11" t="s">
        <v>485</v>
      </c>
      <c r="I83" s="11" t="s">
        <v>486</v>
      </c>
      <c r="J83" s="11" t="s">
        <v>487</v>
      </c>
      <c r="K83" s="11" t="s">
        <v>488</v>
      </c>
      <c r="L83" s="13" t="n">
        <v>-500</v>
      </c>
      <c r="M83" s="14"/>
      <c r="N83" s="14"/>
      <c r="O83" s="15" t="n">
        <f aca="false">IF(OR(M83="",N83=""),0,L83*M83*N83)</f>
        <v>0</v>
      </c>
    </row>
    <row r="84" customFormat="false" ht="23.85" hidden="false" customHeight="false" outlineLevel="0" collapsed="false">
      <c r="A84" s="11" t="n">
        <v>79</v>
      </c>
      <c r="B84" s="11" t="s">
        <v>435</v>
      </c>
      <c r="C84" s="11" t="s">
        <v>489</v>
      </c>
      <c r="D84" s="11" t="s">
        <v>490</v>
      </c>
      <c r="E84" s="11" t="s">
        <v>474</v>
      </c>
      <c r="F84" s="11" t="s">
        <v>491</v>
      </c>
      <c r="G84" s="11" t="s">
        <v>492</v>
      </c>
      <c r="H84" s="11" t="s">
        <v>493</v>
      </c>
      <c r="I84" s="11" t="s">
        <v>494</v>
      </c>
      <c r="J84" s="11" t="s">
        <v>495</v>
      </c>
      <c r="K84" s="11" t="s">
        <v>496</v>
      </c>
      <c r="L84" s="13" t="n">
        <v>150</v>
      </c>
      <c r="M84" s="14"/>
      <c r="N84" s="14"/>
      <c r="O84" s="15" t="n">
        <f aca="false">IF(OR(M84="",N84=""),0,L84*M84*N84)</f>
        <v>0</v>
      </c>
    </row>
    <row r="85" customFormat="false" ht="23.85" hidden="false" customHeight="false" outlineLevel="0" collapsed="false">
      <c r="A85" s="11" t="n">
        <v>80</v>
      </c>
      <c r="B85" s="11" t="s">
        <v>435</v>
      </c>
      <c r="C85" s="11" t="s">
        <v>497</v>
      </c>
      <c r="D85" s="11" t="s">
        <v>498</v>
      </c>
      <c r="E85" s="11" t="s">
        <v>499</v>
      </c>
      <c r="F85" s="11" t="s">
        <v>500</v>
      </c>
      <c r="G85" s="11" t="s">
        <v>501</v>
      </c>
      <c r="H85" s="11" t="s">
        <v>502</v>
      </c>
      <c r="I85" s="11" t="s">
        <v>503</v>
      </c>
      <c r="J85" s="11" t="s">
        <v>504</v>
      </c>
      <c r="K85" s="11" t="s">
        <v>505</v>
      </c>
      <c r="L85" s="13" t="n">
        <v>300</v>
      </c>
      <c r="M85" s="14"/>
      <c r="N85" s="14"/>
      <c r="O85" s="15" t="n">
        <f aca="false">IF(OR(M85="",N85=""),0,L85*M85*N85)</f>
        <v>0</v>
      </c>
    </row>
    <row r="86" customFormat="false" ht="23.85" hidden="false" customHeight="false" outlineLevel="0" collapsed="false">
      <c r="A86" s="11" t="n">
        <v>81</v>
      </c>
      <c r="B86" s="11" t="s">
        <v>435</v>
      </c>
      <c r="C86" s="11" t="s">
        <v>506</v>
      </c>
      <c r="D86" s="11" t="s">
        <v>507</v>
      </c>
      <c r="E86" s="11" t="s">
        <v>508</v>
      </c>
      <c r="F86" s="11" t="s">
        <v>509</v>
      </c>
      <c r="G86" s="11" t="s">
        <v>166</v>
      </c>
      <c r="H86" s="11" t="s">
        <v>133</v>
      </c>
      <c r="I86" s="11" t="s">
        <v>167</v>
      </c>
      <c r="J86" s="11" t="s">
        <v>426</v>
      </c>
      <c r="K86" s="11" t="s">
        <v>510</v>
      </c>
      <c r="L86" s="13" t="n">
        <v>500</v>
      </c>
      <c r="M86" s="14"/>
      <c r="N86" s="14"/>
      <c r="O86" s="15" t="n">
        <f aca="false">IF(OR(M86="",N86=""),0,L86*M86*N86)</f>
        <v>0</v>
      </c>
    </row>
    <row r="87" customFormat="false" ht="35.05" hidden="false" customHeight="false" outlineLevel="0" collapsed="false">
      <c r="A87" s="11" t="n">
        <v>82</v>
      </c>
      <c r="B87" s="11" t="s">
        <v>435</v>
      </c>
      <c r="C87" s="11" t="s">
        <v>511</v>
      </c>
      <c r="D87" s="11" t="s">
        <v>473</v>
      </c>
      <c r="E87" s="11" t="s">
        <v>474</v>
      </c>
      <c r="F87" s="11" t="s">
        <v>512</v>
      </c>
      <c r="G87" s="11" t="s">
        <v>513</v>
      </c>
      <c r="H87" s="11" t="s">
        <v>514</v>
      </c>
      <c r="I87" s="11" t="s">
        <v>515</v>
      </c>
      <c r="J87" s="11" t="s">
        <v>516</v>
      </c>
      <c r="K87" s="11" t="s">
        <v>517</v>
      </c>
      <c r="L87" s="13" t="n">
        <v>-600</v>
      </c>
      <c r="M87" s="14"/>
      <c r="N87" s="14"/>
      <c r="O87" s="15" t="n">
        <f aca="false">IF(OR(M87="",N87=""),0,L87*M87*N87)</f>
        <v>0</v>
      </c>
    </row>
    <row r="88" customFormat="false" ht="15" hidden="false" customHeight="false" outlineLevel="0" collapsed="false">
      <c r="A88" s="11" t="n">
        <v>83</v>
      </c>
      <c r="B88" s="11" t="s">
        <v>435</v>
      </c>
      <c r="C88" s="11" t="s">
        <v>518</v>
      </c>
      <c r="D88" s="11" t="s">
        <v>519</v>
      </c>
      <c r="E88" s="11" t="s">
        <v>474</v>
      </c>
      <c r="F88" s="11" t="s">
        <v>520</v>
      </c>
      <c r="G88" s="11" t="s">
        <v>521</v>
      </c>
      <c r="H88" s="11" t="s">
        <v>522</v>
      </c>
      <c r="I88" s="11" t="s">
        <v>523</v>
      </c>
      <c r="J88" s="11" t="s">
        <v>524</v>
      </c>
      <c r="K88" s="11" t="s">
        <v>525</v>
      </c>
      <c r="L88" s="13" t="n">
        <v>-250</v>
      </c>
      <c r="M88" s="14"/>
      <c r="N88" s="14"/>
      <c r="O88" s="15" t="n">
        <f aca="false">IF(OR(M88="",N88=""),0,L88*M88*N88)</f>
        <v>0</v>
      </c>
    </row>
    <row r="89" customFormat="false" ht="23.85" hidden="false" customHeight="false" outlineLevel="0" collapsed="false">
      <c r="A89" s="11" t="n">
        <v>84</v>
      </c>
      <c r="B89" s="11" t="s">
        <v>435</v>
      </c>
      <c r="C89" s="11" t="s">
        <v>526</v>
      </c>
      <c r="D89" s="11" t="s">
        <v>527</v>
      </c>
      <c r="E89" s="11" t="s">
        <v>474</v>
      </c>
      <c r="F89" s="11" t="s">
        <v>528</v>
      </c>
      <c r="G89" s="11" t="s">
        <v>449</v>
      </c>
      <c r="H89" s="11" t="s">
        <v>492</v>
      </c>
      <c r="I89" s="11" t="s">
        <v>529</v>
      </c>
      <c r="J89" s="11" t="s">
        <v>530</v>
      </c>
      <c r="K89" s="11" t="s">
        <v>531</v>
      </c>
      <c r="L89" s="13" t="n">
        <v>-300</v>
      </c>
      <c r="M89" s="14"/>
      <c r="N89" s="14"/>
      <c r="O89" s="15" t="n">
        <f aca="false">IF(OR(M89="",N89=""),0,L89*M89*N89)</f>
        <v>0</v>
      </c>
    </row>
    <row r="90" customFormat="false" ht="15" hidden="false" customHeight="false" outlineLevel="0" collapsed="false">
      <c r="A90" s="11" t="n">
        <v>85</v>
      </c>
      <c r="B90" s="12" t="s">
        <v>532</v>
      </c>
      <c r="C90" s="11" t="s">
        <v>533</v>
      </c>
      <c r="D90" s="11" t="s">
        <v>534</v>
      </c>
      <c r="E90" s="11" t="s">
        <v>535</v>
      </c>
      <c r="F90" s="11" t="s">
        <v>536</v>
      </c>
      <c r="G90" s="11" t="s">
        <v>133</v>
      </c>
      <c r="H90" s="11" t="s">
        <v>54</v>
      </c>
      <c r="I90" s="11" t="s">
        <v>160</v>
      </c>
      <c r="J90" s="11" t="s">
        <v>248</v>
      </c>
      <c r="K90" s="11" t="s">
        <v>234</v>
      </c>
      <c r="L90" s="13" t="n">
        <v>-450</v>
      </c>
      <c r="M90" s="14"/>
      <c r="N90" s="14"/>
      <c r="O90" s="15" t="n">
        <f aca="false">IF(OR(M90="",N90=""),0,L90*M90*N90)</f>
        <v>0</v>
      </c>
    </row>
    <row r="91" customFormat="false" ht="23.85" hidden="false" customHeight="false" outlineLevel="0" collapsed="false">
      <c r="A91" s="11" t="n">
        <v>86</v>
      </c>
      <c r="B91" s="11" t="s">
        <v>532</v>
      </c>
      <c r="C91" s="11" t="s">
        <v>537</v>
      </c>
      <c r="D91" s="11" t="s">
        <v>538</v>
      </c>
      <c r="E91" s="11" t="s">
        <v>539</v>
      </c>
      <c r="F91" s="11" t="s">
        <v>540</v>
      </c>
      <c r="G91" s="11" t="s">
        <v>541</v>
      </c>
      <c r="H91" s="11" t="s">
        <v>542</v>
      </c>
      <c r="I91" s="11" t="s">
        <v>543</v>
      </c>
      <c r="J91" s="11" t="s">
        <v>544</v>
      </c>
      <c r="K91" s="11" t="s">
        <v>545</v>
      </c>
      <c r="L91" s="13" t="n">
        <v>-850</v>
      </c>
      <c r="M91" s="14"/>
      <c r="N91" s="14"/>
      <c r="O91" s="15" t="n">
        <f aca="false">IF(OR(M91="",N91=""),0,L91*M91*N91)</f>
        <v>0</v>
      </c>
    </row>
    <row r="92" customFormat="false" ht="15" hidden="false" customHeight="false" outlineLevel="0" collapsed="false">
      <c r="A92" s="11" t="n">
        <v>87</v>
      </c>
      <c r="B92" s="11" t="s">
        <v>532</v>
      </c>
      <c r="C92" s="11" t="s">
        <v>546</v>
      </c>
      <c r="D92" s="11" t="s">
        <v>547</v>
      </c>
      <c r="E92" s="11" t="s">
        <v>548</v>
      </c>
      <c r="F92" s="11" t="s">
        <v>549</v>
      </c>
      <c r="G92" s="11" t="s">
        <v>76</v>
      </c>
      <c r="H92" s="11" t="s">
        <v>88</v>
      </c>
      <c r="I92" s="11" t="s">
        <v>120</v>
      </c>
      <c r="J92" s="11" t="s">
        <v>122</v>
      </c>
      <c r="K92" s="11" t="s">
        <v>550</v>
      </c>
      <c r="L92" s="13" t="n">
        <v>-700</v>
      </c>
      <c r="M92" s="14"/>
      <c r="N92" s="14"/>
      <c r="O92" s="15" t="n">
        <f aca="false">IF(OR(M92="",N92=""),0,L92*M92*N92)</f>
        <v>0</v>
      </c>
    </row>
    <row r="93" customFormat="false" ht="15" hidden="false" customHeight="false" outlineLevel="0" collapsed="false">
      <c r="A93" s="11" t="n">
        <v>88</v>
      </c>
      <c r="B93" s="11" t="s">
        <v>532</v>
      </c>
      <c r="C93" s="11" t="s">
        <v>551</v>
      </c>
      <c r="D93" s="11" t="s">
        <v>552</v>
      </c>
      <c r="E93" s="11" t="s">
        <v>421</v>
      </c>
      <c r="F93" s="11" t="s">
        <v>553</v>
      </c>
      <c r="G93" s="11" t="s">
        <v>374</v>
      </c>
      <c r="H93" s="11" t="s">
        <v>105</v>
      </c>
      <c r="I93" s="11" t="s">
        <v>106</v>
      </c>
      <c r="J93" s="11" t="s">
        <v>108</v>
      </c>
      <c r="K93" s="11" t="s">
        <v>554</v>
      </c>
      <c r="L93" s="13" t="n">
        <v>-450</v>
      </c>
      <c r="M93" s="14"/>
      <c r="N93" s="14"/>
      <c r="O93" s="15" t="n">
        <f aca="false">IF(OR(M93="",N93=""),0,L93*M93*N93)</f>
        <v>0</v>
      </c>
    </row>
    <row r="94" customFormat="false" ht="15" hidden="false" customHeight="false" outlineLevel="0" collapsed="false">
      <c r="A94" s="11" t="n">
        <v>89</v>
      </c>
      <c r="B94" s="11" t="s">
        <v>532</v>
      </c>
      <c r="C94" s="11" t="s">
        <v>555</v>
      </c>
      <c r="D94" s="11" t="s">
        <v>556</v>
      </c>
      <c r="E94" s="11" t="s">
        <v>557</v>
      </c>
      <c r="F94" s="11" t="s">
        <v>384</v>
      </c>
      <c r="G94" s="11" t="s">
        <v>558</v>
      </c>
      <c r="H94" s="11" t="s">
        <v>559</v>
      </c>
      <c r="I94" s="11" t="s">
        <v>426</v>
      </c>
      <c r="J94" s="11" t="s">
        <v>201</v>
      </c>
      <c r="K94" s="11" t="s">
        <v>560</v>
      </c>
      <c r="L94" s="13" t="n">
        <v>200</v>
      </c>
      <c r="M94" s="14"/>
      <c r="N94" s="14"/>
      <c r="O94" s="15" t="n">
        <f aca="false">IF(OR(M94="",N94=""),0,L94*M94*N94)</f>
        <v>0</v>
      </c>
    </row>
    <row r="95" customFormat="false" ht="23.85" hidden="false" customHeight="false" outlineLevel="0" collapsed="false">
      <c r="A95" s="11" t="n">
        <v>90</v>
      </c>
      <c r="B95" s="11" t="s">
        <v>532</v>
      </c>
      <c r="C95" s="11" t="s">
        <v>561</v>
      </c>
      <c r="D95" s="11" t="s">
        <v>562</v>
      </c>
      <c r="E95" s="11" t="s">
        <v>474</v>
      </c>
      <c r="F95" s="11" t="s">
        <v>563</v>
      </c>
      <c r="G95" s="11" t="s">
        <v>564</v>
      </c>
      <c r="H95" s="11" t="s">
        <v>565</v>
      </c>
      <c r="I95" s="11" t="s">
        <v>566</v>
      </c>
      <c r="J95" s="11" t="s">
        <v>567</v>
      </c>
      <c r="K95" s="11" t="s">
        <v>568</v>
      </c>
      <c r="L95" s="13" t="n">
        <v>400</v>
      </c>
      <c r="M95" s="14"/>
      <c r="N95" s="14"/>
      <c r="O95" s="15" t="n">
        <f aca="false">IF(OR(M95="",N95=""),0,L95*M95*N95)</f>
        <v>0</v>
      </c>
    </row>
    <row r="96" customFormat="false" ht="23.85" hidden="false" customHeight="false" outlineLevel="0" collapsed="false">
      <c r="A96" s="11" t="n">
        <v>91</v>
      </c>
      <c r="B96" s="11" t="s">
        <v>532</v>
      </c>
      <c r="C96" s="11" t="s">
        <v>569</v>
      </c>
      <c r="D96" s="11" t="s">
        <v>570</v>
      </c>
      <c r="E96" s="11" t="s">
        <v>571</v>
      </c>
      <c r="F96" s="11" t="s">
        <v>572</v>
      </c>
      <c r="G96" s="11" t="s">
        <v>573</v>
      </c>
      <c r="H96" s="11" t="s">
        <v>574</v>
      </c>
      <c r="I96" s="11" t="s">
        <v>575</v>
      </c>
      <c r="J96" s="11" t="s">
        <v>576</v>
      </c>
      <c r="K96" s="11" t="s">
        <v>577</v>
      </c>
      <c r="L96" s="13" t="n">
        <v>400</v>
      </c>
      <c r="M96" s="14"/>
      <c r="N96" s="14"/>
      <c r="O96" s="15" t="n">
        <f aca="false">IF(OR(M96="",N96=""),0,L96*M96*N96)</f>
        <v>0</v>
      </c>
    </row>
    <row r="97" customFormat="false" ht="23.85" hidden="false" customHeight="false" outlineLevel="0" collapsed="false">
      <c r="A97" s="11" t="n">
        <v>92</v>
      </c>
      <c r="B97" s="11" t="s">
        <v>532</v>
      </c>
      <c r="C97" s="11" t="s">
        <v>578</v>
      </c>
      <c r="D97" s="11" t="s">
        <v>579</v>
      </c>
      <c r="E97" s="11" t="s">
        <v>142</v>
      </c>
      <c r="F97" s="11" t="s">
        <v>580</v>
      </c>
      <c r="G97" s="11" t="s">
        <v>121</v>
      </c>
      <c r="H97" s="11" t="s">
        <v>200</v>
      </c>
      <c r="I97" s="11" t="s">
        <v>132</v>
      </c>
      <c r="J97" s="11" t="s">
        <v>133</v>
      </c>
      <c r="K97" s="11" t="s">
        <v>287</v>
      </c>
      <c r="L97" s="13" t="n">
        <v>300</v>
      </c>
      <c r="M97" s="14"/>
      <c r="N97" s="14"/>
      <c r="O97" s="15" t="n">
        <f aca="false">IF(OR(M97="",N97=""),0,L97*M97*N97)</f>
        <v>0</v>
      </c>
    </row>
    <row r="98" customFormat="false" ht="23.85" hidden="false" customHeight="false" outlineLevel="0" collapsed="false">
      <c r="A98" s="11" t="n">
        <v>93</v>
      </c>
      <c r="B98" s="11" t="s">
        <v>532</v>
      </c>
      <c r="C98" s="11" t="s">
        <v>581</v>
      </c>
      <c r="D98" s="11" t="s">
        <v>582</v>
      </c>
      <c r="E98" s="11" t="s">
        <v>583</v>
      </c>
      <c r="F98" s="11" t="s">
        <v>584</v>
      </c>
      <c r="G98" s="11" t="s">
        <v>585</v>
      </c>
      <c r="H98" s="11" t="s">
        <v>586</v>
      </c>
      <c r="I98" s="11" t="s">
        <v>587</v>
      </c>
      <c r="J98" s="11" t="s">
        <v>588</v>
      </c>
      <c r="K98" s="11" t="s">
        <v>589</v>
      </c>
      <c r="L98" s="13" t="n">
        <v>-900</v>
      </c>
      <c r="M98" s="14"/>
      <c r="N98" s="14"/>
      <c r="O98" s="15" t="n">
        <f aca="false">IF(OR(M98="",N98=""),0,L98*M98*N98)</f>
        <v>0</v>
      </c>
    </row>
    <row r="99" customFormat="false" ht="23.85" hidden="false" customHeight="false" outlineLevel="0" collapsed="false">
      <c r="A99" s="11" t="n">
        <v>94</v>
      </c>
      <c r="B99" s="11" t="s">
        <v>532</v>
      </c>
      <c r="C99" s="11" t="s">
        <v>590</v>
      </c>
      <c r="D99" s="11" t="s">
        <v>591</v>
      </c>
      <c r="E99" s="11" t="s">
        <v>592</v>
      </c>
      <c r="F99" s="11" t="s">
        <v>500</v>
      </c>
      <c r="G99" s="11" t="s">
        <v>593</v>
      </c>
      <c r="H99" s="11" t="s">
        <v>594</v>
      </c>
      <c r="I99" s="11" t="s">
        <v>595</v>
      </c>
      <c r="J99" s="11" t="s">
        <v>596</v>
      </c>
      <c r="K99" s="11" t="s">
        <v>597</v>
      </c>
      <c r="L99" s="13" t="n">
        <v>150</v>
      </c>
      <c r="M99" s="14"/>
      <c r="N99" s="14"/>
      <c r="O99" s="15" t="n">
        <f aca="false">IF(OR(M99="",N99=""),0,L99*M99*N99)</f>
        <v>0</v>
      </c>
    </row>
    <row r="100" customFormat="false" ht="23.85" hidden="false" customHeight="false" outlineLevel="0" collapsed="false">
      <c r="A100" s="11" t="n">
        <v>95</v>
      </c>
      <c r="B100" s="12" t="s">
        <v>598</v>
      </c>
      <c r="C100" s="11" t="s">
        <v>599</v>
      </c>
      <c r="D100" s="11" t="s">
        <v>600</v>
      </c>
      <c r="E100" s="11" t="s">
        <v>601</v>
      </c>
      <c r="F100" s="11" t="s">
        <v>602</v>
      </c>
      <c r="G100" s="11" t="s">
        <v>603</v>
      </c>
      <c r="H100" s="11" t="s">
        <v>604</v>
      </c>
      <c r="I100" s="11" t="s">
        <v>605</v>
      </c>
      <c r="J100" s="11" t="s">
        <v>606</v>
      </c>
      <c r="K100" s="11" t="s">
        <v>607</v>
      </c>
      <c r="L100" s="13" t="n">
        <v>-300</v>
      </c>
      <c r="M100" s="14"/>
      <c r="N100" s="14"/>
      <c r="O100" s="15" t="n">
        <f aca="false">IF(OR(M100="",N100=""),0,L100*M100*N100)</f>
        <v>0</v>
      </c>
    </row>
    <row r="101" customFormat="false" ht="15" hidden="false" customHeight="false" outlineLevel="0" collapsed="false">
      <c r="A101" s="11" t="n">
        <v>96</v>
      </c>
      <c r="B101" s="11" t="s">
        <v>598</v>
      </c>
      <c r="C101" s="11" t="s">
        <v>608</v>
      </c>
      <c r="D101" s="11" t="s">
        <v>609</v>
      </c>
      <c r="E101" s="11" t="s">
        <v>610</v>
      </c>
      <c r="F101" s="11" t="s">
        <v>611</v>
      </c>
      <c r="G101" s="11" t="s">
        <v>167</v>
      </c>
      <c r="H101" s="11" t="s">
        <v>54</v>
      </c>
      <c r="I101" s="11" t="s">
        <v>159</v>
      </c>
      <c r="J101" s="11" t="s">
        <v>429</v>
      </c>
      <c r="K101" s="11" t="s">
        <v>430</v>
      </c>
      <c r="L101" s="13" t="n">
        <v>-100</v>
      </c>
      <c r="M101" s="14"/>
      <c r="N101" s="14"/>
      <c r="O101" s="15" t="n">
        <f aca="false">IF(OR(M101="",N101=""),0,L101*M101*N101)</f>
        <v>0</v>
      </c>
    </row>
    <row r="102" customFormat="false" ht="15" hidden="false" customHeight="false" outlineLevel="0" collapsed="false">
      <c r="A102" s="11" t="n">
        <v>97</v>
      </c>
      <c r="B102" s="11" t="s">
        <v>598</v>
      </c>
      <c r="C102" s="11" t="s">
        <v>612</v>
      </c>
      <c r="D102" s="11" t="s">
        <v>613</v>
      </c>
      <c r="E102" s="11" t="s">
        <v>614</v>
      </c>
      <c r="F102" s="11" t="s">
        <v>615</v>
      </c>
      <c r="G102" s="11" t="s">
        <v>616</v>
      </c>
      <c r="H102" s="11" t="s">
        <v>617</v>
      </c>
      <c r="I102" s="11" t="s">
        <v>618</v>
      </c>
      <c r="J102" s="11" t="s">
        <v>619</v>
      </c>
      <c r="K102" s="11" t="s">
        <v>620</v>
      </c>
      <c r="L102" s="13" t="n">
        <v>-150</v>
      </c>
      <c r="M102" s="14"/>
      <c r="N102" s="14"/>
      <c r="O102" s="15" t="n">
        <f aca="false">IF(OR(M102="",N102=""),0,L102*M102*N102)</f>
        <v>0</v>
      </c>
    </row>
    <row r="103" customFormat="false" ht="15" hidden="false" customHeight="false" outlineLevel="0" collapsed="false">
      <c r="A103" s="11" t="n">
        <v>98</v>
      </c>
      <c r="B103" s="11" t="s">
        <v>598</v>
      </c>
      <c r="C103" s="11" t="s">
        <v>621</v>
      </c>
      <c r="D103" s="11" t="s">
        <v>172</v>
      </c>
      <c r="E103" s="11" t="s">
        <v>622</v>
      </c>
      <c r="F103" s="11" t="s">
        <v>623</v>
      </c>
      <c r="G103" s="11" t="s">
        <v>76</v>
      </c>
      <c r="H103" s="11" t="s">
        <v>127</v>
      </c>
      <c r="I103" s="11" t="s">
        <v>114</v>
      </c>
      <c r="J103" s="11" t="s">
        <v>174</v>
      </c>
      <c r="K103" s="11" t="s">
        <v>226</v>
      </c>
      <c r="L103" s="13" t="n">
        <v>150</v>
      </c>
      <c r="M103" s="14"/>
      <c r="N103" s="14"/>
      <c r="O103" s="15" t="n">
        <f aca="false">IF(OR(M103="",N103=""),0,L103*M103*N103)</f>
        <v>0</v>
      </c>
    </row>
    <row r="104" customFormat="false" ht="23.85" hidden="false" customHeight="false" outlineLevel="0" collapsed="false">
      <c r="A104" s="11" t="n">
        <v>99</v>
      </c>
      <c r="B104" s="11" t="s">
        <v>598</v>
      </c>
      <c r="C104" s="11" t="s">
        <v>624</v>
      </c>
      <c r="D104" s="11" t="s">
        <v>625</v>
      </c>
      <c r="E104" s="11" t="s">
        <v>626</v>
      </c>
      <c r="F104" s="11" t="s">
        <v>205</v>
      </c>
      <c r="G104" s="11" t="s">
        <v>627</v>
      </c>
      <c r="H104" s="11" t="s">
        <v>628</v>
      </c>
      <c r="I104" s="11" t="s">
        <v>629</v>
      </c>
      <c r="J104" s="11" t="s">
        <v>630</v>
      </c>
      <c r="K104" s="11" t="s">
        <v>631</v>
      </c>
      <c r="L104" s="13" t="n">
        <v>400</v>
      </c>
      <c r="M104" s="14"/>
      <c r="N104" s="14"/>
      <c r="O104" s="15" t="n">
        <f aca="false">IF(OR(M104="",N104=""),0,L104*M104*N104)</f>
        <v>0</v>
      </c>
    </row>
    <row r="105" customFormat="false" ht="23.85" hidden="false" customHeight="false" outlineLevel="0" collapsed="false">
      <c r="A105" s="11" t="n">
        <v>100</v>
      </c>
      <c r="B105" s="11" t="s">
        <v>598</v>
      </c>
      <c r="C105" s="11" t="s">
        <v>632</v>
      </c>
      <c r="D105" s="11" t="s">
        <v>633</v>
      </c>
      <c r="E105" s="11" t="s">
        <v>634</v>
      </c>
      <c r="F105" s="11" t="s">
        <v>635</v>
      </c>
      <c r="G105" s="11" t="s">
        <v>636</v>
      </c>
      <c r="H105" s="11" t="s">
        <v>637</v>
      </c>
      <c r="I105" s="11" t="s">
        <v>638</v>
      </c>
      <c r="J105" s="11" t="s">
        <v>639</v>
      </c>
      <c r="K105" s="11" t="s">
        <v>640</v>
      </c>
      <c r="L105" s="13" t="n">
        <v>200</v>
      </c>
      <c r="M105" s="14"/>
      <c r="N105" s="14"/>
      <c r="O105" s="15" t="n">
        <f aca="false">IF(OR(M105="",N105=""),0,L105*M105*N105)</f>
        <v>0</v>
      </c>
    </row>
  </sheetData>
  <autoFilter ref="A5:O105"/>
  <dataValidations count="3">
    <dataValidation allowBlank="true" errorStyle="stop" operator="between" showDropDown="false" showErrorMessage="false" showInputMessage="false" sqref="M6:M105" type="list">
      <formula1>"-1,0,1"</formula1>
      <formula2>0</formula2>
    </dataValidation>
    <dataValidation allowBlank="true" errorStyle="stop" operator="between" showDropDown="false" showErrorMessage="false" showInputMessage="false" sqref="N6:N105" type="decimal">
      <formula1>0.01</formula1>
      <formula2>1</formula2>
    </dataValidation>
    <dataValidation allowBlank="false" errorStyle="stop" operator="between" showDropDown="false" showErrorMessage="false" showInputMessage="false" sqref="L6:L105" type="whole">
      <formula1>-1000</formula1>
      <formula2>1000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2026-10-22T12:40:13Z</dcterms:created>
  <dc:creator>openpyxl</dc:creator>
  <dc:description/>
  <dc:language>en-US</dc:language>
  <cp:lastModifiedBy/>
  <dcterms:modified xsi:type="dcterms:W3CDTF">2026-10-22T12:40:13Z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