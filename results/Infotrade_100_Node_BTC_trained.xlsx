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Nodes" sheetId="2" state="visible" r:id="rId2"/>
  </sheets>
  <definedNames>
    <definedName name="_xlnm._FilterDatabase" localSheetId="1" hidden="1">'Nodes'!$A$5:$O$105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0.0%"/>
    <numFmt numFmtId="166" formatCode="#,##0;\-#,##0;0"/>
    <numFmt numFmtId="167" formatCode="#,##0.0;\-#,##0.0;\-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family val="2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top" wrapText="1"/>
    </xf>
    <xf numFmtId="166" fontId="10" fillId="0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center" vertical="top"/>
    </xf>
    <xf numFmtId="167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top" wrapText="1"/>
    </xf>
    <xf numFmtId="166" fontId="10" fillId="0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center" vertical="top"/>
    </xf>
    <xf numFmtId="167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Unknown Author</author>
  </authors>
  <commentList>
    <comment ref="G2" authorId="0" shapeId="0">
      <text>
        <t>Ngưỡng ±5% là giả định khởi tạo, cần hiệu chỉnh sau khi huấn luyện.</t>
      </text>
    </comment>
    <comment ref="N38" authorId="0" shapeId="0">
      <text>
        <t>Ví dụ: ETF BTC vào ròng 320 triệu USD → bậc 300 → M=0.5, D=+1. Xóa khi dùng thật.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6" min="1" max="1"/>
  </cols>
  <sheetData>
    <row r="1" ht="17.35" customHeight="1" s="17">
      <c r="A1" s="18" t="inlineStr">
        <is>
          <t>CÁCH DÙNG BẢNG NODE INFOTRADE</t>
        </is>
      </c>
    </row>
    <row r="2" ht="15" customHeight="1" s="17">
      <c r="A2" s="19" t="n"/>
    </row>
    <row r="3" ht="15" customHeight="1" s="17">
      <c r="A3" s="20" t="inlineStr">
        <is>
          <t>Công thức mỗi node: Giá trị = W × M × D</t>
        </is>
      </c>
    </row>
    <row r="4" ht="26.85" customHeight="1" s="17">
      <c r="A4" s="19" t="inlineStr">
        <is>
          <t>• W – trọng số (−1000 → 1000): chiều và độ lớn tác động. Dấu + = tin đẩy giá tăng, − = kéo giá giảm. Giá trị hiện tại là KHỞI TẠO (ước lượng chuyên gia), sẽ được thay bằng kết quả huấn luyện.</t>
        </is>
      </c>
    </row>
    <row r="5" ht="26.85" customHeight="1" s="17">
      <c r="A5" s="19" t="inlineStr">
        <is>
          <t>• M – mức độ thông tin (0.01 → 1): tra theo 5 cột thang M của từng node. Có tin nhưng dưới bậc 0.1 → nhập 0.01. Có thể nội suy giữa 2 bậc.</t>
        </is>
      </c>
    </row>
    <row r="6" ht="15" customHeight="1" s="17">
      <c r="A6" s="19" t="inlineStr">
        <is>
          <t>• D – hướng tin: +1 nếu tin đúng 'Chiều chuẩn', −1 nếu ngược chiều, 0 hoặc để trống nếu không có tin.</t>
        </is>
      </c>
    </row>
    <row r="7" ht="15" customHeight="1" s="17">
      <c r="A7" s="19" t="inlineStr">
        <is>
          <t xml:space="preserve">  Ví dụ: CPI thấp hơn dự báo 0.2 điểm % → node 5: D = −1, M = 0.5 → Giá trị = −850 × 0.5 × −1 = +425 (tích cực).</t>
        </is>
      </c>
    </row>
    <row r="8" ht="15" customHeight="1" s="17">
      <c r="A8" s="19" t="inlineStr">
        <is>
          <t xml:space="preserve">  Cột D được thêm vào để M luôn nằm trong 0.01–1 mà vẫn xử lý được tin hai chiều.</t>
        </is>
      </c>
    </row>
    <row r="9" ht="15" customHeight="1" s="17">
      <c r="A9" s="19" t="n"/>
    </row>
    <row r="10" ht="15" customHeight="1" s="17">
      <c r="A10" s="20" t="inlineStr">
        <is>
          <t>Ô cần nhập (nền vàng, chữ xanh): cột M 'Hướng D' và cột N 'Mức độ M'. Cột L 'Trọng số W' cập nhật sau huấn luyện.</t>
        </is>
      </c>
    </row>
    <row r="11" ht="15" customHeight="1" s="17">
      <c r="A11" s="19" t="inlineStr">
        <is>
          <t>Dòng node 33 có sẵn ví dụ (ETF vào 320 triệu USD → M=0.5, D=+1) – xóa trước khi dùng thật.</t>
        </is>
      </c>
    </row>
    <row r="12" ht="15" customHeight="1" s="17">
      <c r="A12" s="19" t="n"/>
    </row>
    <row r="13" ht="15" customHeight="1" s="17">
      <c r="A13" s="20" t="inlineStr">
        <is>
          <t>Tổng hợp (sheet Nodes, góc trên):</t>
        </is>
      </c>
    </row>
    <row r="14" ht="26.85" customHeight="1" s="17">
      <c r="A14" s="19" t="inlineStr">
        <is>
          <t>• Tổng điểm = Σ Giá trị 100 node. • Tín hiệu = Tổng điểm / Σ|W|. • Ngưỡng kết luận ±5% là giả định, cần hiệu chỉnh khi huấn luyện.</t>
        </is>
      </c>
    </row>
    <row r="15" ht="15" customHeight="1" s="17">
      <c r="A15" s="19" t="n"/>
    </row>
    <row r="16" ht="15" customHeight="1" s="17">
      <c r="A16" s="20" t="inlineStr">
        <is>
          <t>Quy trình huấn luyện (bước tiếp theo):</t>
        </is>
      </c>
    </row>
    <row r="17" ht="15" customHeight="1" s="17">
      <c r="A17" s="19" t="inlineStr">
        <is>
          <t>1. Lấy nến ngày BTC, lọc các cặp 2 phiên liên tiếp cùng chiều, tổng biến động ≥ 5%.</t>
        </is>
      </c>
    </row>
    <row r="18" ht="15" customHeight="1" s="17">
      <c r="A18" s="19" t="inlineStr">
        <is>
          <t>2. Với mỗi mẫu, thu thập dữ liệu thật của ngày trước đó cho 100 node → chấm M và D theo thang.</t>
        </is>
      </c>
    </row>
    <row r="19" ht="15" customHeight="1" s="17">
      <c r="A19" s="19" t="inlineStr">
        <is>
          <t>3. Tối ưu W (giới hạn −1000…1000) sao cho dấu tổng điểm khớp chiều 2 phiên sau; dùng regularization vì số mẫu ít.</t>
        </is>
      </c>
    </row>
    <row r="20" ht="15" customHeight="1" s="17">
      <c r="A20" s="19" t="inlineStr">
        <is>
          <t>4. Kiểm tra trên tập mẫu tách riêng (walk-forward) trước khi tin dùng.</t>
        </is>
      </c>
    </row>
    <row r="21" ht="15" customHeight="1" s="17">
      <c r="A21" s="19" t="n"/>
    </row>
    <row r="22" ht="15" customHeight="1" s="17">
      <c r="A22" s="20" t="inlineStr">
        <is>
          <t>Lưu ý: mô hình chấm điểm tham khảo, không bảo đảm dự đoán đúng giá, không phải khuyến nghị đầu tư.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10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16" min="1" max="1"/>
    <col width="22" customWidth="1" style="16" min="2" max="2"/>
    <col width="30" customWidth="1" style="16" min="3" max="5"/>
    <col width="26" customWidth="1" style="16" min="6" max="6"/>
    <col width="14" customWidth="1" style="16" min="7" max="8"/>
    <col width="16" customWidth="1" style="16" min="9" max="9"/>
    <col width="18" customWidth="1" style="16" min="10" max="10"/>
    <col width="20" customWidth="1" style="16" min="11" max="11"/>
    <col width="12" customWidth="1" style="16" min="12" max="12"/>
    <col width="11" customWidth="1" style="16" min="13" max="14"/>
    <col width="13" customWidth="1" style="16" min="15" max="15"/>
  </cols>
  <sheetData>
    <row r="1" ht="17.35" customHeight="1" s="17">
      <c r="A1" s="21" t="inlineStr">
        <is>
          <t>100 NODE INFOTRADE – DỰ BÁO BIẾN ĐỘNG GIÁ BTC NGÀY HÔM SAU</t>
        </is>
      </c>
    </row>
    <row r="2" ht="15" customHeight="1" s="17">
      <c r="A2" s="22" t="inlineStr">
        <is>
          <t>Tổng điểm</t>
        </is>
      </c>
      <c r="C2" s="23">
        <f>SUM(O6:O105)</f>
        <v/>
      </c>
      <c r="E2" s="22" t="inlineStr">
        <is>
          <t>Tín hiệu (% tối đa)</t>
        </is>
      </c>
      <c r="G2" s="24">
        <f>IF(C3=0,0,C2/C3)</f>
        <v/>
      </c>
    </row>
    <row r="3" ht="15" customHeight="1" s="17">
      <c r="A3" s="22" t="inlineStr">
        <is>
          <t>Điểm tối đa (Σ|W|)</t>
        </is>
      </c>
      <c r="C3" s="25">
        <f>SUMPRODUCT(ABS(L6:L105))</f>
        <v/>
      </c>
      <c r="E3" s="22" t="inlineStr">
        <is>
          <t>Kết luận</t>
        </is>
      </c>
      <c r="G3" s="26">
        <f>IF(G2&gt;=0.05,"Nghiêng TĂNG",IF(G2&lt;=-0.05,"Nghiêng GIẢM","Trung tính"))</f>
        <v/>
      </c>
    </row>
    <row r="5" ht="42" customHeight="1" s="17">
      <c r="A5" s="27" t="inlineStr">
        <is>
          <t>ID</t>
        </is>
      </c>
      <c r="B5" s="27" t="inlineStr">
        <is>
          <t>Nhóm</t>
        </is>
      </c>
      <c r="C5" s="27" t="inlineStr">
        <is>
          <t>Tên node</t>
        </is>
      </c>
      <c r="D5" s="27" t="inlineStr">
        <is>
          <t>Chiều chuẩn (tin = hướng +1)</t>
        </is>
      </c>
      <c r="E5" s="27" t="inlineStr">
        <is>
          <t>Chỉ số đo</t>
        </is>
      </c>
      <c r="F5" s="27" t="inlineStr">
        <is>
          <t>Nguồn dữ liệu</t>
        </is>
      </c>
      <c r="G5" s="27" t="inlineStr">
        <is>
          <t>M = 0.1</t>
        </is>
      </c>
      <c r="H5" s="27" t="inlineStr">
        <is>
          <t>M = 0.3</t>
        </is>
      </c>
      <c r="I5" s="27" t="inlineStr">
        <is>
          <t>M = 0.5</t>
        </is>
      </c>
      <c r="J5" s="27" t="inlineStr">
        <is>
          <t>M = 0.75</t>
        </is>
      </c>
      <c r="K5" s="27" t="inlineStr">
        <is>
          <t>M = 1.0</t>
        </is>
      </c>
      <c r="L5" s="27" t="inlineStr">
        <is>
          <t>Trọng số W (đã huấn luyện)</t>
        </is>
      </c>
      <c r="M5" s="27" t="inlineStr">
        <is>
          <t>Hướng D (+1/0/−1)</t>
        </is>
      </c>
      <c r="N5" s="27" t="inlineStr">
        <is>
          <t>Mức độ M (0.01–1)</t>
        </is>
      </c>
      <c r="O5" s="27" t="inlineStr">
        <is>
          <t>Giá trị = W×M×D</t>
        </is>
      </c>
    </row>
    <row r="6" ht="35.05" customHeight="1" s="17">
      <c r="A6" s="28" t="n">
        <v>1</v>
      </c>
      <c r="B6" s="29" t="inlineStr">
        <is>
          <t>A. Vĩ mô Mỹ – Fed</t>
        </is>
      </c>
      <c r="C6" s="28" t="inlineStr">
        <is>
          <t>Quyết định lãi suất FOMC</t>
        </is>
      </c>
      <c r="D6" s="28" t="inlineStr">
        <is>
          <t>Lãi suất/thông điệp hawkish hơn kỳ vọng</t>
        </is>
      </c>
      <c r="E6" s="28" t="inlineStr">
        <is>
          <t>Chênh lệch so với kỳ vọng thị trường (bp)</t>
        </is>
      </c>
      <c r="F6" s="28" t="inlineStr">
        <is>
          <t>federalreserve.gov, CME FedWatch</t>
        </is>
      </c>
      <c r="G6" s="28" t="inlineStr">
        <is>
          <t>Đúng kỳ vọng, thông điệp lệch nhẹ</t>
        </is>
      </c>
      <c r="H6" s="28" t="inlineStr">
        <is>
          <t>Thông điệp lệch rõ</t>
        </is>
      </c>
      <c r="I6" s="28" t="inlineStr">
        <is>
          <t>Lệch 25bp so kỳ vọng</t>
        </is>
      </c>
      <c r="J6" s="28" t="inlineStr">
        <is>
          <t>Lệch 50bp</t>
        </is>
      </c>
      <c r="K6" s="28" t="inlineStr">
        <is>
          <t>≥75bp hoặc họp khẩn</t>
        </is>
      </c>
      <c r="L6" s="30" t="n">
        <v>-950</v>
      </c>
      <c r="M6" s="31" t="n"/>
      <c r="N6" s="31" t="n"/>
      <c r="O6" s="32">
        <f>IF(OR(M6="",N6=""),0,L6*M6*N6)</f>
        <v/>
      </c>
    </row>
    <row r="7" ht="23.85" customHeight="1" s="17">
      <c r="A7" s="28" t="n">
        <v>2</v>
      </c>
      <c r="B7" s="28" t="inlineStr">
        <is>
          <t>A. Vĩ mô Mỹ – Fed</t>
        </is>
      </c>
      <c r="C7" s="28" t="inlineStr">
        <is>
          <t>Dot plot / dự báo lãi suất Fed</t>
        </is>
      </c>
      <c r="D7" s="28" t="inlineStr">
        <is>
          <t>Dự báo ít lần cắt hơn lần trước</t>
        </is>
      </c>
      <c r="E7" s="28" t="inlineStr">
        <is>
          <t>Thay đổi trung vị lãi suất cuối năm (bp)</t>
        </is>
      </c>
      <c r="F7" s="28" t="inlineStr">
        <is>
          <t>federalreserve.gov (SEP)</t>
        </is>
      </c>
      <c r="G7" s="28" t="inlineStr">
        <is>
          <t>&lt;12.5</t>
        </is>
      </c>
      <c r="H7" s="28" t="inlineStr">
        <is>
          <t>12.5</t>
        </is>
      </c>
      <c r="I7" s="28" t="inlineStr">
        <is>
          <t>25</t>
        </is>
      </c>
      <c r="J7" s="28" t="inlineStr">
        <is>
          <t>50</t>
        </is>
      </c>
      <c r="K7" s="28" t="inlineStr">
        <is>
          <t>≥75</t>
        </is>
      </c>
      <c r="L7" s="30" t="n">
        <v>-700</v>
      </c>
      <c r="M7" s="31" t="n"/>
      <c r="N7" s="31" t="n"/>
      <c r="O7" s="32">
        <f>IF(OR(M7="",N7=""),0,L7*M7*N7)</f>
        <v/>
      </c>
    </row>
    <row r="8" ht="23.85" customHeight="1" s="17">
      <c r="A8" s="28" t="n">
        <v>3</v>
      </c>
      <c r="B8" s="28" t="inlineStr">
        <is>
          <t>A. Vĩ mô Mỹ – Fed</t>
        </is>
      </c>
      <c r="C8" s="28" t="inlineStr">
        <is>
          <t>Phát biểu Chủ tịch Fed</t>
        </is>
      </c>
      <c r="D8" s="28" t="inlineStr">
        <is>
          <t>Giọng điệu hawkish</t>
        </is>
      </c>
      <c r="E8" s="28" t="inlineStr">
        <is>
          <t>Đánh giá giọng điệu so với kỳ vọng</t>
        </is>
      </c>
      <c r="F8" s="28" t="inlineStr">
        <is>
          <t>federalreserve.gov, Reuters</t>
        </is>
      </c>
      <c r="G8" s="28" t="inlineStr">
        <is>
          <t>Lặp lại quan điểm cũ</t>
        </is>
      </c>
      <c r="H8" s="28" t="inlineStr">
        <is>
          <t>Nghiêng nhẹ</t>
        </is>
      </c>
      <c r="I8" s="28" t="inlineStr">
        <is>
          <t>Thay đổi giọng điệu rõ</t>
        </is>
      </c>
      <c r="J8" s="28" t="inlineStr">
        <is>
          <t>Gợi ý đổi chính sách</t>
        </is>
      </c>
      <c r="K8" s="28" t="inlineStr">
        <is>
          <t>Tuyên bố đổi chính sách bất ngờ</t>
        </is>
      </c>
      <c r="L8" s="30" t="n">
        <v>-750</v>
      </c>
      <c r="M8" s="31" t="n"/>
      <c r="N8" s="31" t="n"/>
      <c r="O8" s="32">
        <f>IF(OR(M8="",N8=""),0,L8*M8*N8)</f>
        <v/>
      </c>
    </row>
    <row r="9" ht="23.85" customHeight="1" s="17">
      <c r="A9" s="28" t="n">
        <v>4</v>
      </c>
      <c r="B9" s="28" t="inlineStr">
        <is>
          <t>A. Vĩ mô Mỹ – Fed</t>
        </is>
      </c>
      <c r="C9" s="28" t="inlineStr">
        <is>
          <t>Biên bản họp FOMC</t>
        </is>
      </c>
      <c r="D9" s="28" t="inlineStr">
        <is>
          <t>Biên bản hawkish hơn kỳ vọng</t>
        </is>
      </c>
      <c r="E9" s="28" t="inlineStr">
        <is>
          <t>Đánh giá giọng điệu</t>
        </is>
      </c>
      <c r="F9" s="28" t="inlineStr">
        <is>
          <t>federalreserve.gov</t>
        </is>
      </c>
      <c r="G9" s="28" t="inlineStr">
        <is>
          <t>Lặp lại quan điểm cũ</t>
        </is>
      </c>
      <c r="H9" s="28" t="inlineStr">
        <is>
          <t>Nghiêng nhẹ</t>
        </is>
      </c>
      <c r="I9" s="28" t="inlineStr">
        <is>
          <t>Thay đổi giọng điệu rõ</t>
        </is>
      </c>
      <c r="J9" s="28" t="inlineStr">
        <is>
          <t>Gợi ý đổi chính sách</t>
        </is>
      </c>
      <c r="K9" s="28" t="inlineStr">
        <is>
          <t>Tuyên bố đổi chính sách bất ngờ</t>
        </is>
      </c>
      <c r="L9" s="30" t="n">
        <v>-400</v>
      </c>
      <c r="M9" s="31" t="n"/>
      <c r="N9" s="31" t="n"/>
      <c r="O9" s="32">
        <f>IF(OR(M9="",N9=""),0,L9*M9*N9)</f>
        <v/>
      </c>
    </row>
    <row r="10" ht="15" customHeight="1" s="17">
      <c r="A10" s="28" t="n">
        <v>5</v>
      </c>
      <c r="B10" s="28" t="inlineStr">
        <is>
          <t>A. Vĩ mô Mỹ – Fed</t>
        </is>
      </c>
      <c r="C10" s="28" t="inlineStr">
        <is>
          <t>CPI Mỹ</t>
        </is>
      </c>
      <c r="D10" s="28" t="inlineStr">
        <is>
          <t>CPI YoY cao hơn dự báo</t>
        </is>
      </c>
      <c r="E10" s="28" t="inlineStr">
        <is>
          <t>Thực tế − dự báo (điểm %)</t>
        </is>
      </c>
      <c r="F10" s="28" t="inlineStr">
        <is>
          <t>BLS, lịch kinh tế Investing.com</t>
        </is>
      </c>
      <c r="G10" s="28" t="inlineStr">
        <is>
          <t>0.05</t>
        </is>
      </c>
      <c r="H10" s="28" t="inlineStr">
        <is>
          <t>0.1</t>
        </is>
      </c>
      <c r="I10" s="28" t="inlineStr">
        <is>
          <t>0.2</t>
        </is>
      </c>
      <c r="J10" s="28" t="inlineStr">
        <is>
          <t>0.3</t>
        </is>
      </c>
      <c r="K10" s="28" t="inlineStr">
        <is>
          <t>≥0.4</t>
        </is>
      </c>
      <c r="L10" s="30" t="n">
        <v>-850</v>
      </c>
      <c r="M10" s="31" t="n"/>
      <c r="N10" s="31" t="n"/>
      <c r="O10" s="32">
        <f>IF(OR(M10="",N10=""),0,L10*M10*N10)</f>
        <v/>
      </c>
    </row>
    <row r="11" ht="15" customHeight="1" s="17">
      <c r="A11" s="28" t="n">
        <v>6</v>
      </c>
      <c r="B11" s="28" t="inlineStr">
        <is>
          <t>A. Vĩ mô Mỹ – Fed</t>
        </is>
      </c>
      <c r="C11" s="28" t="inlineStr">
        <is>
          <t>Core CPI</t>
        </is>
      </c>
      <c r="D11" s="28" t="inlineStr">
        <is>
          <t>Core CPI MoM cao hơn dự báo</t>
        </is>
      </c>
      <c r="E11" s="28" t="inlineStr">
        <is>
          <t>Thực tế − dự báo (điểm %)</t>
        </is>
      </c>
      <c r="F11" s="28" t="inlineStr">
        <is>
          <t>BLS</t>
        </is>
      </c>
      <c r="G11" s="28" t="inlineStr">
        <is>
          <t>0.05</t>
        </is>
      </c>
      <c r="H11" s="28" t="inlineStr">
        <is>
          <t>0.1</t>
        </is>
      </c>
      <c r="I11" s="28" t="inlineStr">
        <is>
          <t>0.15</t>
        </is>
      </c>
      <c r="J11" s="28" t="inlineStr">
        <is>
          <t>0.2</t>
        </is>
      </c>
      <c r="K11" s="28" t="inlineStr">
        <is>
          <t>≥0.3</t>
        </is>
      </c>
      <c r="L11" s="30" t="n">
        <v>-900</v>
      </c>
      <c r="M11" s="31" t="n"/>
      <c r="N11" s="31" t="n"/>
      <c r="O11" s="32">
        <f>IF(OR(M11="",N11=""),0,L11*M11*N11)</f>
        <v/>
      </c>
    </row>
    <row r="12" ht="15" customHeight="1" s="17">
      <c r="A12" s="28" t="n">
        <v>7</v>
      </c>
      <c r="B12" s="28" t="inlineStr">
        <is>
          <t>A. Vĩ mô Mỹ – Fed</t>
        </is>
      </c>
      <c r="C12" s="28" t="inlineStr">
        <is>
          <t>PCE / Core PCE</t>
        </is>
      </c>
      <c r="D12" s="28" t="inlineStr">
        <is>
          <t>Core PCE cao hơn dự báo</t>
        </is>
      </c>
      <c r="E12" s="28" t="inlineStr">
        <is>
          <t>Thực tế − dự báo (điểm %)</t>
        </is>
      </c>
      <c r="F12" s="28" t="inlineStr">
        <is>
          <t>BEA</t>
        </is>
      </c>
      <c r="G12" s="28" t="inlineStr">
        <is>
          <t>0.05</t>
        </is>
      </c>
      <c r="H12" s="28" t="inlineStr">
        <is>
          <t>0.1</t>
        </is>
      </c>
      <c r="I12" s="28" t="inlineStr">
        <is>
          <t>0.15</t>
        </is>
      </c>
      <c r="J12" s="28" t="inlineStr">
        <is>
          <t>0.2</t>
        </is>
      </c>
      <c r="K12" s="28" t="inlineStr">
        <is>
          <t>≥0.3</t>
        </is>
      </c>
      <c r="L12" s="30" t="n">
        <v>-650</v>
      </c>
      <c r="M12" s="31" t="n"/>
      <c r="N12" s="31" t="n"/>
      <c r="O12" s="32">
        <f>IF(OR(M12="",N12=""),0,L12*M12*N12)</f>
        <v/>
      </c>
    </row>
    <row r="13" ht="15" customHeight="1" s="17">
      <c r="A13" s="28" t="n">
        <v>8</v>
      </c>
      <c r="B13" s="28" t="inlineStr">
        <is>
          <t>A. Vĩ mô Mỹ – Fed</t>
        </is>
      </c>
      <c r="C13" s="28" t="inlineStr">
        <is>
          <t>PPI</t>
        </is>
      </c>
      <c r="D13" s="28" t="inlineStr">
        <is>
          <t>PPI cao hơn dự báo</t>
        </is>
      </c>
      <c r="E13" s="28" t="inlineStr">
        <is>
          <t>Thực tế − dự báo (điểm %)</t>
        </is>
      </c>
      <c r="F13" s="28" t="inlineStr">
        <is>
          <t>BLS</t>
        </is>
      </c>
      <c r="G13" s="28" t="inlineStr">
        <is>
          <t>0.1</t>
        </is>
      </c>
      <c r="H13" s="28" t="inlineStr">
        <is>
          <t>0.2</t>
        </is>
      </c>
      <c r="I13" s="28" t="inlineStr">
        <is>
          <t>0.3</t>
        </is>
      </c>
      <c r="J13" s="28" t="inlineStr">
        <is>
          <t>0.5</t>
        </is>
      </c>
      <c r="K13" s="28" t="inlineStr">
        <is>
          <t>≥0.7</t>
        </is>
      </c>
      <c r="L13" s="30" t="n">
        <v>-400</v>
      </c>
      <c r="M13" s="31" t="n"/>
      <c r="N13" s="31" t="n"/>
      <c r="O13" s="32">
        <f>IF(OR(M13="",N13=""),0,L13*M13*N13)</f>
        <v/>
      </c>
    </row>
    <row r="14" ht="15" customHeight="1" s="17">
      <c r="A14" s="28" t="n">
        <v>9</v>
      </c>
      <c r="B14" s="28" t="inlineStr">
        <is>
          <t>A. Vĩ mô Mỹ – Fed</t>
        </is>
      </c>
      <c r="C14" s="28" t="inlineStr">
        <is>
          <t>Bảng lương phi nông nghiệp (NFP)</t>
        </is>
      </c>
      <c r="D14" s="28" t="inlineStr">
        <is>
          <t>NFP cao hơn dự báo</t>
        </is>
      </c>
      <c r="E14" s="28" t="inlineStr">
        <is>
          <t>Thực tế − dự báo (nghìn việc làm)</t>
        </is>
      </c>
      <c r="F14" s="28" t="inlineStr">
        <is>
          <t>BLS</t>
        </is>
      </c>
      <c r="G14" s="28" t="inlineStr">
        <is>
          <t>25k</t>
        </is>
      </c>
      <c r="H14" s="28" t="inlineStr">
        <is>
          <t>50k</t>
        </is>
      </c>
      <c r="I14" s="28" t="inlineStr">
        <is>
          <t>100k</t>
        </is>
      </c>
      <c r="J14" s="28" t="inlineStr">
        <is>
          <t>150k</t>
        </is>
      </c>
      <c r="K14" s="28" t="inlineStr">
        <is>
          <t>≥200k</t>
        </is>
      </c>
      <c r="L14" s="30" t="n">
        <v>-500</v>
      </c>
      <c r="M14" s="31" t="n"/>
      <c r="N14" s="31" t="n"/>
      <c r="O14" s="32">
        <f>IF(OR(M14="",N14=""),0,L14*M14*N14)</f>
        <v/>
      </c>
    </row>
    <row r="15" ht="23.85" customHeight="1" s="17">
      <c r="A15" s="28" t="n">
        <v>10</v>
      </c>
      <c r="B15" s="28" t="inlineStr">
        <is>
          <t>A. Vĩ mô Mỹ – Fed</t>
        </is>
      </c>
      <c r="C15" s="28" t="inlineStr">
        <is>
          <t>Tỷ lệ thất nghiệp Mỹ</t>
        </is>
      </c>
      <c r="D15" s="28" t="inlineStr">
        <is>
          <t>Thất nghiệp cao hơn dự báo</t>
        </is>
      </c>
      <c r="E15" s="28" t="inlineStr">
        <is>
          <t>Thực tế − dự báo (điểm %)</t>
        </is>
      </c>
      <c r="F15" s="28" t="inlineStr">
        <is>
          <t>BLS</t>
        </is>
      </c>
      <c r="G15" s="28" t="inlineStr">
        <is>
          <t>0.05</t>
        </is>
      </c>
      <c r="H15" s="28" t="inlineStr">
        <is>
          <t>0.1</t>
        </is>
      </c>
      <c r="I15" s="28" t="inlineStr">
        <is>
          <t>0.2</t>
        </is>
      </c>
      <c r="J15" s="28" t="inlineStr">
        <is>
          <t>0.3</t>
        </is>
      </c>
      <c r="K15" s="28" t="inlineStr">
        <is>
          <t>≥0.4 / kích hoạt Sahm rule</t>
        </is>
      </c>
      <c r="L15" s="30" t="n">
        <v>300</v>
      </c>
      <c r="M15" s="31" t="n"/>
      <c r="N15" s="31" t="n"/>
      <c r="O15" s="32">
        <f>IF(OR(M15="",N15=""),0,L15*M15*N15)</f>
        <v/>
      </c>
    </row>
    <row r="16" ht="15" customHeight="1" s="17">
      <c r="A16" s="28" t="n">
        <v>11</v>
      </c>
      <c r="B16" s="28" t="inlineStr">
        <is>
          <t>A. Vĩ mô Mỹ – Fed</t>
        </is>
      </c>
      <c r="C16" s="28" t="inlineStr">
        <is>
          <t>Đơn trợ cấp thất nghiệp hàng tuần</t>
        </is>
      </c>
      <c r="D16" s="28" t="inlineStr">
        <is>
          <t>Cao hơn dự báo</t>
        </is>
      </c>
      <c r="E16" s="28" t="inlineStr">
        <is>
          <t>Thực tế − dự báo (nghìn đơn)</t>
        </is>
      </c>
      <c r="F16" s="28" t="inlineStr">
        <is>
          <t>DOL</t>
        </is>
      </c>
      <c r="G16" s="28" t="inlineStr">
        <is>
          <t>5k</t>
        </is>
      </c>
      <c r="H16" s="28" t="inlineStr">
        <is>
          <t>10k</t>
        </is>
      </c>
      <c r="I16" s="28" t="inlineStr">
        <is>
          <t>20k</t>
        </is>
      </c>
      <c r="J16" s="28" t="inlineStr">
        <is>
          <t>30k</t>
        </is>
      </c>
      <c r="K16" s="28" t="inlineStr">
        <is>
          <t>≥40k</t>
        </is>
      </c>
      <c r="L16" s="30" t="n">
        <v>150</v>
      </c>
      <c r="M16" s="31" t="n"/>
      <c r="N16" s="31" t="n"/>
      <c r="O16" s="32">
        <f>IF(OR(M16="",N16=""),0,L16*M16*N16)</f>
        <v/>
      </c>
    </row>
    <row r="17" ht="15" customHeight="1" s="17">
      <c r="A17" s="28" t="n">
        <v>12</v>
      </c>
      <c r="B17" s="28" t="inlineStr">
        <is>
          <t>A. Vĩ mô Mỹ – Fed</t>
        </is>
      </c>
      <c r="C17" s="28" t="inlineStr">
        <is>
          <t>GDP Mỹ</t>
        </is>
      </c>
      <c r="D17" s="28" t="inlineStr">
        <is>
          <t>GDP cao hơn dự báo</t>
        </is>
      </c>
      <c r="E17" s="28" t="inlineStr">
        <is>
          <t>Thực tế − dự báo (điểm %)</t>
        </is>
      </c>
      <c r="F17" s="28" t="inlineStr">
        <is>
          <t>BEA</t>
        </is>
      </c>
      <c r="G17" s="28" t="inlineStr">
        <is>
          <t>0.2</t>
        </is>
      </c>
      <c r="H17" s="28" t="inlineStr">
        <is>
          <t>0.4</t>
        </is>
      </c>
      <c r="I17" s="28" t="inlineStr">
        <is>
          <t>0.7</t>
        </is>
      </c>
      <c r="J17" s="28" t="inlineStr">
        <is>
          <t>1.0</t>
        </is>
      </c>
      <c r="K17" s="28" t="inlineStr">
        <is>
          <t>≥1.5</t>
        </is>
      </c>
      <c r="L17" s="30" t="n">
        <v>-200</v>
      </c>
      <c r="M17" s="31" t="n"/>
      <c r="N17" s="31" t="n"/>
      <c r="O17" s="32">
        <f>IF(OR(M17="",N17=""),0,L17*M17*N17)</f>
        <v/>
      </c>
    </row>
    <row r="18" ht="15" customHeight="1" s="17">
      <c r="A18" s="28" t="n">
        <v>13</v>
      </c>
      <c r="B18" s="28" t="inlineStr">
        <is>
          <t>A. Vĩ mô Mỹ – Fed</t>
        </is>
      </c>
      <c r="C18" s="28" t="inlineStr">
        <is>
          <t>PMI ISM sản xuất/dịch vụ</t>
        </is>
      </c>
      <c r="D18" s="28" t="inlineStr">
        <is>
          <t>PMI cao hơn dự báo</t>
        </is>
      </c>
      <c r="E18" s="28" t="inlineStr">
        <is>
          <t>Thực tế − dự báo (điểm)</t>
        </is>
      </c>
      <c r="F18" s="28" t="inlineStr">
        <is>
          <t>ISM</t>
        </is>
      </c>
      <c r="G18" s="28" t="inlineStr">
        <is>
          <t>0.5</t>
        </is>
      </c>
      <c r="H18" s="28" t="inlineStr">
        <is>
          <t>1</t>
        </is>
      </c>
      <c r="I18" s="28" t="inlineStr">
        <is>
          <t>2</t>
        </is>
      </c>
      <c r="J18" s="28" t="inlineStr">
        <is>
          <t>3</t>
        </is>
      </c>
      <c r="K18" s="28" t="inlineStr">
        <is>
          <t>≥4</t>
        </is>
      </c>
      <c r="L18" s="30" t="n">
        <v>-250</v>
      </c>
      <c r="M18" s="31" t="n"/>
      <c r="N18" s="31" t="n"/>
      <c r="O18" s="32">
        <f>IF(OR(M18="",N18=""),0,L18*M18*N18)</f>
        <v/>
      </c>
    </row>
    <row r="19" ht="15" customHeight="1" s="17">
      <c r="A19" s="28" t="n">
        <v>14</v>
      </c>
      <c r="B19" s="28" t="inlineStr">
        <is>
          <t>A. Vĩ mô Mỹ – Fed</t>
        </is>
      </c>
      <c r="C19" s="28" t="inlineStr">
        <is>
          <t>Doanh số bán lẻ Mỹ</t>
        </is>
      </c>
      <c r="D19" s="28" t="inlineStr">
        <is>
          <t>Cao hơn dự báo</t>
        </is>
      </c>
      <c r="E19" s="28" t="inlineStr">
        <is>
          <t>Thực tế − dự báo MoM (điểm %)</t>
        </is>
      </c>
      <c r="F19" s="28" t="inlineStr">
        <is>
          <t>Census Bureau</t>
        </is>
      </c>
      <c r="G19" s="28" t="inlineStr">
        <is>
          <t>0.2</t>
        </is>
      </c>
      <c r="H19" s="28" t="inlineStr">
        <is>
          <t>0.4</t>
        </is>
      </c>
      <c r="I19" s="28" t="inlineStr">
        <is>
          <t>0.6</t>
        </is>
      </c>
      <c r="J19" s="28" t="inlineStr">
        <is>
          <t>1.0</t>
        </is>
      </c>
      <c r="K19" s="28" t="inlineStr">
        <is>
          <t>≥1.5</t>
        </is>
      </c>
      <c r="L19" s="30" t="n">
        <v>-250</v>
      </c>
      <c r="M19" s="31" t="n"/>
      <c r="N19" s="31" t="n"/>
      <c r="O19" s="32">
        <f>IF(OR(M19="",N19=""),0,L19*M19*N19)</f>
        <v/>
      </c>
    </row>
    <row r="20" ht="15" customHeight="1" s="17">
      <c r="A20" s="28" t="n">
        <v>15</v>
      </c>
      <c r="B20" s="28" t="inlineStr">
        <is>
          <t>A. Vĩ mô Mỹ – Fed</t>
        </is>
      </c>
      <c r="C20" s="28" t="inlineStr">
        <is>
          <t>Lợi suất trái phiếu Mỹ 10 năm</t>
        </is>
      </c>
      <c r="D20" s="28" t="inlineStr">
        <is>
          <t>Lợi suất 10Y tăng</t>
        </is>
      </c>
      <c r="E20" s="28" t="inlineStr">
        <is>
          <t>Thay đổi trong ngày (bp)</t>
        </is>
      </c>
      <c r="F20" s="28" t="inlineStr">
        <is>
          <t>FRED DGS10, CNBC</t>
        </is>
      </c>
      <c r="G20" s="28" t="inlineStr">
        <is>
          <t>3</t>
        </is>
      </c>
      <c r="H20" s="28" t="inlineStr">
        <is>
          <t>6</t>
        </is>
      </c>
      <c r="I20" s="28" t="inlineStr">
        <is>
          <t>10</t>
        </is>
      </c>
      <c r="J20" s="28" t="inlineStr">
        <is>
          <t>15</t>
        </is>
      </c>
      <c r="K20" s="28" t="inlineStr">
        <is>
          <t>≥20</t>
        </is>
      </c>
      <c r="L20" s="30" t="n">
        <v>-36</v>
      </c>
      <c r="M20" s="31" t="n"/>
      <c r="N20" s="31" t="n"/>
      <c r="O20" s="32">
        <f>IF(OR(M20="",N20=""),0,L20*M20*N20)</f>
        <v/>
      </c>
    </row>
    <row r="21" ht="23.85" customHeight="1" s="17">
      <c r="A21" s="28" t="n">
        <v>16</v>
      </c>
      <c r="B21" s="28" t="inlineStr">
        <is>
          <t>A. Vĩ mô Mỹ – Fed</t>
        </is>
      </c>
      <c r="C21" s="28" t="inlineStr">
        <is>
          <t>Chênh lệch lợi suất 2Y–10Y</t>
        </is>
      </c>
      <c r="D21" s="28" t="inlineStr">
        <is>
          <t>Bull steepening (lợi suất ngắn hạn giảm)</t>
        </is>
      </c>
      <c r="E21" s="28" t="inlineStr">
        <is>
          <t>Thay đổi spread trong ngày (bp)</t>
        </is>
      </c>
      <c r="F21" s="28" t="inlineStr">
        <is>
          <t>FRED T10Y2Y</t>
        </is>
      </c>
      <c r="G21" s="28" t="inlineStr">
        <is>
          <t>3</t>
        </is>
      </c>
      <c r="H21" s="28" t="inlineStr">
        <is>
          <t>6</t>
        </is>
      </c>
      <c r="I21" s="28" t="inlineStr">
        <is>
          <t>10</t>
        </is>
      </c>
      <c r="J21" s="28" t="inlineStr">
        <is>
          <t>15</t>
        </is>
      </c>
      <c r="K21" s="28" t="inlineStr">
        <is>
          <t>≥20</t>
        </is>
      </c>
      <c r="L21" s="30" t="n">
        <v>200</v>
      </c>
      <c r="M21" s="31" t="n"/>
      <c r="N21" s="31" t="n"/>
      <c r="O21" s="32">
        <f>IF(OR(M21="",N21=""),0,L21*M21*N21)</f>
        <v/>
      </c>
    </row>
    <row r="22" ht="15" customHeight="1" s="17">
      <c r="A22" s="28" t="n">
        <v>17</v>
      </c>
      <c r="B22" s="28" t="inlineStr">
        <is>
          <t>A. Vĩ mô Mỹ – Fed</t>
        </is>
      </c>
      <c r="C22" s="28" t="inlineStr">
        <is>
          <t>Chỉ số DXY</t>
        </is>
      </c>
      <c r="D22" s="28" t="inlineStr">
        <is>
          <t>DXY tăng</t>
        </is>
      </c>
      <c r="E22" s="28" t="inlineStr">
        <is>
          <t>Thay đổi trong ngày (%)</t>
        </is>
      </c>
      <c r="F22" s="28" t="inlineStr">
        <is>
          <t>TradingView, Investing.com</t>
        </is>
      </c>
      <c r="G22" s="28" t="inlineStr">
        <is>
          <t>0.15</t>
        </is>
      </c>
      <c r="H22" s="28" t="inlineStr">
        <is>
          <t>0.3</t>
        </is>
      </c>
      <c r="I22" s="28" t="inlineStr">
        <is>
          <t>0.5</t>
        </is>
      </c>
      <c r="J22" s="28" t="inlineStr">
        <is>
          <t>0.8</t>
        </is>
      </c>
      <c r="K22" s="28" t="inlineStr">
        <is>
          <t>≥1.2</t>
        </is>
      </c>
      <c r="L22" s="30" t="n">
        <v>-263</v>
      </c>
      <c r="M22" s="31" t="n"/>
      <c r="N22" s="31" t="n"/>
      <c r="O22" s="32">
        <f>IF(OR(M22="",N22=""),0,L22*M22*N22)</f>
        <v/>
      </c>
    </row>
    <row r="23" ht="23.85" customHeight="1" s="17">
      <c r="A23" s="28" t="n">
        <v>18</v>
      </c>
      <c r="B23" s="28" t="inlineStr">
        <is>
          <t>A. Vĩ mô Mỹ – Fed</t>
        </is>
      </c>
      <c r="C23" s="28" t="inlineStr">
        <is>
          <t>Bảng cân đối Fed (QT/QE)</t>
        </is>
      </c>
      <c r="D23" s="28" t="inlineStr">
        <is>
          <t>Mở rộng / chậm QT</t>
        </is>
      </c>
      <c r="E23" s="28" t="inlineStr">
        <is>
          <t>Thay đổi tuần hoặc thông báo</t>
        </is>
      </c>
      <c r="F23" s="28" t="inlineStr">
        <is>
          <t>FRED WALCL</t>
        </is>
      </c>
      <c r="G23" s="28" t="inlineStr">
        <is>
          <t>&lt;20 tỷ USD</t>
        </is>
      </c>
      <c r="H23" s="28" t="inlineStr">
        <is>
          <t>20–50 tỷ</t>
        </is>
      </c>
      <c r="I23" s="28" t="inlineStr">
        <is>
          <t>50–100 tỷ</t>
        </is>
      </c>
      <c r="J23" s="28" t="inlineStr">
        <is>
          <t>Thông báo giảm tốc QT</t>
        </is>
      </c>
      <c r="K23" s="28" t="inlineStr">
        <is>
          <t>Dừng QT / QE mới</t>
        </is>
      </c>
      <c r="L23" s="30" t="n">
        <v>500</v>
      </c>
      <c r="M23" s="31" t="n"/>
      <c r="N23" s="31" t="n"/>
      <c r="O23" s="32">
        <f>IF(OR(M23="",N23=""),0,L23*M23*N23)</f>
        <v/>
      </c>
    </row>
    <row r="24" ht="23.85" customHeight="1" s="17">
      <c r="A24" s="28" t="n">
        <v>19</v>
      </c>
      <c r="B24" s="28" t="inlineStr">
        <is>
          <t>A. Vĩ mô Mỹ – Fed</t>
        </is>
      </c>
      <c r="C24" s="28" t="inlineStr">
        <is>
          <t>Thanh khoản ròng Fed (TGA, Reverse Repo)</t>
        </is>
      </c>
      <c r="D24" s="28" t="inlineStr">
        <is>
          <t>Thanh khoản ròng tăng</t>
        </is>
      </c>
      <c r="E24" s="28" t="inlineStr">
        <is>
          <t>WALCL − TGA − RRP, thay đổi tuần (tỷ USD)</t>
        </is>
      </c>
      <c r="F24" s="28" t="inlineStr">
        <is>
          <t>FRED WALCL, WTREGEN, RRPONTSYD</t>
        </is>
      </c>
      <c r="G24" s="28" t="inlineStr">
        <is>
          <t>25</t>
        </is>
      </c>
      <c r="H24" s="28" t="inlineStr">
        <is>
          <t>50</t>
        </is>
      </c>
      <c r="I24" s="28" t="inlineStr">
        <is>
          <t>100</t>
        </is>
      </c>
      <c r="J24" s="28" t="inlineStr">
        <is>
          <t>150</t>
        </is>
      </c>
      <c r="K24" s="28" t="inlineStr">
        <is>
          <t>≥200</t>
        </is>
      </c>
      <c r="L24" s="30" t="n">
        <v>600</v>
      </c>
      <c r="M24" s="31" t="n"/>
      <c r="N24" s="31" t="n"/>
      <c r="O24" s="32">
        <f>IF(OR(M24="",N24=""),0,L24*M24*N24)</f>
        <v/>
      </c>
    </row>
    <row r="25" ht="23.85" customHeight="1" s="17">
      <c r="A25" s="28" t="n">
        <v>20</v>
      </c>
      <c r="B25" s="28" t="inlineStr">
        <is>
          <t>A. Vĩ mô Mỹ – Fed</t>
        </is>
      </c>
      <c r="C25" s="28" t="inlineStr">
        <is>
          <t>Xác suất lãi suất CME FedWatch</t>
        </is>
      </c>
      <c r="D25" s="28" t="inlineStr">
        <is>
          <t>Xác suất cắt lãi suất kỳ tới tăng</t>
        </is>
      </c>
      <c r="E25" s="28" t="inlineStr">
        <is>
          <t>Thay đổi xác suất trong ngày (điểm %)</t>
        </is>
      </c>
      <c r="F25" s="28" t="inlineStr">
        <is>
          <t>CME FedWatch</t>
        </is>
      </c>
      <c r="G25" s="28" t="inlineStr">
        <is>
          <t>5</t>
        </is>
      </c>
      <c r="H25" s="28" t="inlineStr">
        <is>
          <t>10</t>
        </is>
      </c>
      <c r="I25" s="28" t="inlineStr">
        <is>
          <t>20</t>
        </is>
      </c>
      <c r="J25" s="28" t="inlineStr">
        <is>
          <t>35</t>
        </is>
      </c>
      <c r="K25" s="28" t="inlineStr">
        <is>
          <t>≥50</t>
        </is>
      </c>
      <c r="L25" s="30" t="n">
        <v>650</v>
      </c>
      <c r="M25" s="31" t="n"/>
      <c r="N25" s="31" t="n"/>
      <c r="O25" s="32">
        <f>IF(OR(M25="",N25=""),0,L25*M25*N25)</f>
        <v/>
      </c>
    </row>
    <row r="26" ht="15" customHeight="1" s="17">
      <c r="A26" s="28" t="n">
        <v>21</v>
      </c>
      <c r="B26" s="29" t="inlineStr">
        <is>
          <t>B. Thị trường truyền thống</t>
        </is>
      </c>
      <c r="C26" s="28" t="inlineStr">
        <is>
          <t>S&amp;P 500</t>
        </is>
      </c>
      <c r="D26" s="28" t="inlineStr">
        <is>
          <t>Tăng</t>
        </is>
      </c>
      <c r="E26" s="28" t="inlineStr">
        <is>
          <t>Thay đổi trong ngày (%)</t>
        </is>
      </c>
      <c r="F26" s="28" t="inlineStr">
        <is>
          <t>Yahoo Finance</t>
        </is>
      </c>
      <c r="G26" s="28" t="inlineStr">
        <is>
          <t>0.3</t>
        </is>
      </c>
      <c r="H26" s="28" t="inlineStr">
        <is>
          <t>0.6</t>
        </is>
      </c>
      <c r="I26" s="28" t="inlineStr">
        <is>
          <t>1.0</t>
        </is>
      </c>
      <c r="J26" s="28" t="inlineStr">
        <is>
          <t>1.5</t>
        </is>
      </c>
      <c r="K26" s="28" t="inlineStr">
        <is>
          <t>≥2.5</t>
        </is>
      </c>
      <c r="L26" s="30" t="n">
        <v>-19</v>
      </c>
      <c r="M26" s="31" t="n"/>
      <c r="N26" s="31" t="n"/>
      <c r="O26" s="32">
        <f>IF(OR(M26="",N26=""),0,L26*M26*N26)</f>
        <v/>
      </c>
    </row>
    <row r="27" ht="15" customHeight="1" s="17">
      <c r="A27" s="28" t="n">
        <v>22</v>
      </c>
      <c r="B27" s="28" t="inlineStr">
        <is>
          <t>B. Thị trường truyền thống</t>
        </is>
      </c>
      <c r="C27" s="28" t="inlineStr">
        <is>
          <t>Nasdaq</t>
        </is>
      </c>
      <c r="D27" s="28" t="inlineStr">
        <is>
          <t>Tăng</t>
        </is>
      </c>
      <c r="E27" s="28" t="inlineStr">
        <is>
          <t>Thay đổi trong ngày (%)</t>
        </is>
      </c>
      <c r="F27" s="28" t="inlineStr">
        <is>
          <t>Yahoo Finance</t>
        </is>
      </c>
      <c r="G27" s="28" t="inlineStr">
        <is>
          <t>0.4</t>
        </is>
      </c>
      <c r="H27" s="28" t="inlineStr">
        <is>
          <t>0.8</t>
        </is>
      </c>
      <c r="I27" s="28" t="inlineStr">
        <is>
          <t>1.3</t>
        </is>
      </c>
      <c r="J27" s="28" t="inlineStr">
        <is>
          <t>2.0</t>
        </is>
      </c>
      <c r="K27" s="28" t="inlineStr">
        <is>
          <t>≥3</t>
        </is>
      </c>
      <c r="L27" s="30" t="n">
        <v>-87</v>
      </c>
      <c r="M27" s="31" t="n"/>
      <c r="N27" s="31" t="n"/>
      <c r="O27" s="32">
        <f>IF(OR(M27="",N27=""),0,L27*M27*N27)</f>
        <v/>
      </c>
    </row>
    <row r="28" ht="15" customHeight="1" s="17">
      <c r="A28" s="28" t="n">
        <v>23</v>
      </c>
      <c r="B28" s="28" t="inlineStr">
        <is>
          <t>B. Thị trường truyền thống</t>
        </is>
      </c>
      <c r="C28" s="28" t="inlineStr">
        <is>
          <t>VIX</t>
        </is>
      </c>
      <c r="D28" s="28" t="inlineStr">
        <is>
          <t>VIX tăng</t>
        </is>
      </c>
      <c r="E28" s="28" t="inlineStr">
        <is>
          <t>Thay đổi trong ngày (%)</t>
        </is>
      </c>
      <c r="F28" s="28" t="inlineStr">
        <is>
          <t>CBOE, Yahoo Finance</t>
        </is>
      </c>
      <c r="G28" s="28" t="inlineStr">
        <is>
          <t>3</t>
        </is>
      </c>
      <c r="H28" s="28" t="inlineStr">
        <is>
          <t>6</t>
        </is>
      </c>
      <c r="I28" s="28" t="inlineStr">
        <is>
          <t>10</t>
        </is>
      </c>
      <c r="J28" s="28" t="inlineStr">
        <is>
          <t>20</t>
        </is>
      </c>
      <c r="K28" s="28" t="inlineStr">
        <is>
          <t>≥30</t>
        </is>
      </c>
      <c r="L28" s="30" t="n">
        <v>-62</v>
      </c>
      <c r="M28" s="31" t="n"/>
      <c r="N28" s="31" t="n"/>
      <c r="O28" s="32">
        <f>IF(OR(M28="",N28=""),0,L28*M28*N28)</f>
        <v/>
      </c>
    </row>
    <row r="29" ht="15" customHeight="1" s="17">
      <c r="A29" s="28" t="n">
        <v>24</v>
      </c>
      <c r="B29" s="28" t="inlineStr">
        <is>
          <t>B. Thị trường truyền thống</t>
        </is>
      </c>
      <c r="C29" s="28" t="inlineStr">
        <is>
          <t>Giá vàng</t>
        </is>
      </c>
      <c r="D29" s="28" t="inlineStr">
        <is>
          <t>Tăng</t>
        </is>
      </c>
      <c r="E29" s="28" t="inlineStr">
        <is>
          <t>Thay đổi trong ngày (%)</t>
        </is>
      </c>
      <c r="F29" s="28" t="inlineStr">
        <is>
          <t>Yahoo Finance (GC=F)</t>
        </is>
      </c>
      <c r="G29" s="28" t="inlineStr">
        <is>
          <t>0.3</t>
        </is>
      </c>
      <c r="H29" s="28" t="inlineStr">
        <is>
          <t>0.6</t>
        </is>
      </c>
      <c r="I29" s="28" t="inlineStr">
        <is>
          <t>1.0</t>
        </is>
      </c>
      <c r="J29" s="28" t="inlineStr">
        <is>
          <t>1.5</t>
        </is>
      </c>
      <c r="K29" s="28" t="inlineStr">
        <is>
          <t>≥2.5</t>
        </is>
      </c>
      <c r="L29" s="30" t="n">
        <v>97</v>
      </c>
      <c r="M29" s="31" t="n"/>
      <c r="N29" s="31" t="n"/>
      <c r="O29" s="32">
        <f>IF(OR(M29="",N29=""),0,L29*M29*N29)</f>
        <v/>
      </c>
    </row>
    <row r="30" ht="15" customHeight="1" s="17">
      <c r="A30" s="28" t="n">
        <v>25</v>
      </c>
      <c r="B30" s="28" t="inlineStr">
        <is>
          <t>B. Thị trường truyền thống</t>
        </is>
      </c>
      <c r="C30" s="28" t="inlineStr">
        <is>
          <t>Giá dầu WTI</t>
        </is>
      </c>
      <c r="D30" s="28" t="inlineStr">
        <is>
          <t>Tăng (áp lực lạm phát)</t>
        </is>
      </c>
      <c r="E30" s="28" t="inlineStr">
        <is>
          <t>Thay đổi trong ngày (%)</t>
        </is>
      </c>
      <c r="F30" s="28" t="inlineStr">
        <is>
          <t>Yahoo Finance (CL=F)</t>
        </is>
      </c>
      <c r="G30" s="28" t="inlineStr">
        <is>
          <t>1</t>
        </is>
      </c>
      <c r="H30" s="28" t="inlineStr">
        <is>
          <t>2</t>
        </is>
      </c>
      <c r="I30" s="28" t="inlineStr">
        <is>
          <t>3</t>
        </is>
      </c>
      <c r="J30" s="28" t="inlineStr">
        <is>
          <t>5</t>
        </is>
      </c>
      <c r="K30" s="28" t="inlineStr">
        <is>
          <t>≥8</t>
        </is>
      </c>
      <c r="L30" s="30" t="n">
        <v>-104</v>
      </c>
      <c r="M30" s="31" t="n"/>
      <c r="N30" s="31" t="n"/>
      <c r="O30" s="32">
        <f>IF(OR(M30="",N30=""),0,L30*M30*N30)</f>
        <v/>
      </c>
    </row>
    <row r="31" ht="23.85" customHeight="1" s="17">
      <c r="A31" s="28" t="n">
        <v>26</v>
      </c>
      <c r="B31" s="28" t="inlineStr">
        <is>
          <t>B. Thị trường truyền thống</t>
        </is>
      </c>
      <c r="C31" s="28" t="inlineStr">
        <is>
          <t>Kết quả kinh doanh Big Tech</t>
        </is>
      </c>
      <c r="D31" s="28" t="inlineStr">
        <is>
          <t>Vượt kỳ vọng</t>
        </is>
      </c>
      <c r="E31" s="28" t="inlineStr">
        <is>
          <t>Chênh EPS/guidance, phản ứng giá sau giờ</t>
        </is>
      </c>
      <c r="F31" s="28" t="inlineStr">
        <is>
          <t>Báo cáo công ty, Nasdaq.com</t>
        </is>
      </c>
      <c r="G31" s="28" t="inlineStr">
        <is>
          <t>Vượt EPS &lt;2%</t>
        </is>
      </c>
      <c r="H31" s="28" t="inlineStr">
        <is>
          <t>2–5%</t>
        </is>
      </c>
      <c r="I31" s="28" t="inlineStr">
        <is>
          <t>5–10% / guidance tốt</t>
        </is>
      </c>
      <c r="J31" s="28" t="inlineStr">
        <is>
          <t>≥10% + nâng guidance</t>
        </is>
      </c>
      <c r="K31" s="28" t="inlineStr">
        <is>
          <t>Bất ngờ lớn, cổ phiếu ±8% sau giờ</t>
        </is>
      </c>
      <c r="L31" s="30" t="n">
        <v>160</v>
      </c>
      <c r="M31" s="31" t="n"/>
      <c r="N31" s="31" t="n"/>
      <c r="O31" s="32">
        <f>IF(OR(M31="",N31=""),0,L31*M31*N31)</f>
        <v/>
      </c>
    </row>
    <row r="32" ht="15" customHeight="1" s="17">
      <c r="A32" s="28" t="n">
        <v>27</v>
      </c>
      <c r="B32" s="28" t="inlineStr">
        <is>
          <t>B. Thị trường truyền thống</t>
        </is>
      </c>
      <c r="C32" s="28" t="inlineStr">
        <is>
          <t>Cổ phiếu crypto (MSTR, COIN)</t>
        </is>
      </c>
      <c r="D32" s="28" t="inlineStr">
        <is>
          <t>Tăng</t>
        </is>
      </c>
      <c r="E32" s="28" t="inlineStr">
        <is>
          <t>Thay đổi trong ngày (%)</t>
        </is>
      </c>
      <c r="F32" s="28" t="inlineStr">
        <is>
          <t>Yahoo Finance</t>
        </is>
      </c>
      <c r="G32" s="28" t="inlineStr">
        <is>
          <t>1</t>
        </is>
      </c>
      <c r="H32" s="28" t="inlineStr">
        <is>
          <t>2</t>
        </is>
      </c>
      <c r="I32" s="28" t="inlineStr">
        <is>
          <t>4</t>
        </is>
      </c>
      <c r="J32" s="28" t="inlineStr">
        <is>
          <t>7</t>
        </is>
      </c>
      <c r="K32" s="28" t="inlineStr">
        <is>
          <t>≥10</t>
        </is>
      </c>
      <c r="L32" s="30" t="n">
        <v>137</v>
      </c>
      <c r="M32" s="31" t="n"/>
      <c r="N32" s="31" t="n"/>
      <c r="O32" s="32">
        <f>IF(OR(M32="",N32=""),0,L32*M32*N32)</f>
        <v/>
      </c>
    </row>
    <row r="33" ht="15" customHeight="1" s="17">
      <c r="A33" s="28" t="n">
        <v>28</v>
      </c>
      <c r="B33" s="28" t="inlineStr">
        <is>
          <t>B. Thị trường truyền thống</t>
        </is>
      </c>
      <c r="C33" s="28" t="inlineStr">
        <is>
          <t>USD/JPY (carry trade)</t>
        </is>
      </c>
      <c r="D33" s="28" t="inlineStr">
        <is>
          <t>JPY tăng mạnh (USD/JPY giảm)</t>
        </is>
      </c>
      <c r="E33" s="28" t="inlineStr">
        <is>
          <t>Thay đổi trong ngày (%)</t>
        </is>
      </c>
      <c r="F33" s="28" t="inlineStr">
        <is>
          <t>TradingView</t>
        </is>
      </c>
      <c r="G33" s="28" t="inlineStr">
        <is>
          <t>0.3</t>
        </is>
      </c>
      <c r="H33" s="28" t="inlineStr">
        <is>
          <t>0.6</t>
        </is>
      </c>
      <c r="I33" s="28" t="inlineStr">
        <is>
          <t>1.0</t>
        </is>
      </c>
      <c r="J33" s="28" t="inlineStr">
        <is>
          <t>1.5</t>
        </is>
      </c>
      <c r="K33" s="28" t="inlineStr">
        <is>
          <t>≥2.5</t>
        </is>
      </c>
      <c r="L33" s="30" t="n">
        <v>-642</v>
      </c>
      <c r="M33" s="31" t="n"/>
      <c r="N33" s="31" t="n"/>
      <c r="O33" s="32">
        <f>IF(OR(M33="",N33=""),0,L33*M33*N33)</f>
        <v/>
      </c>
    </row>
    <row r="34" ht="35.05" customHeight="1" s="17">
      <c r="A34" s="28" t="n">
        <v>29</v>
      </c>
      <c r="B34" s="28" t="inlineStr">
        <is>
          <t>B. Thị trường truyền thống</t>
        </is>
      </c>
      <c r="C34" s="28" t="inlineStr">
        <is>
          <t>Chính sách BOJ</t>
        </is>
      </c>
      <c r="D34" s="28" t="inlineStr">
        <is>
          <t>Hawkish / tăng lãi suất</t>
        </is>
      </c>
      <c r="E34" s="28" t="inlineStr">
        <is>
          <t>Chênh lệch so kỳ vọng</t>
        </is>
      </c>
      <c r="F34" s="28" t="inlineStr">
        <is>
          <t>boj.or.jp</t>
        </is>
      </c>
      <c r="G34" s="28" t="inlineStr">
        <is>
          <t>Đúng kỳ vọng, thông điệp lệch nhẹ</t>
        </is>
      </c>
      <c r="H34" s="28" t="inlineStr">
        <is>
          <t>Thông điệp lệch rõ</t>
        </is>
      </c>
      <c r="I34" s="28" t="inlineStr">
        <is>
          <t>Lệch 25bp so kỳ vọng</t>
        </is>
      </c>
      <c r="J34" s="28" t="inlineStr">
        <is>
          <t>Lệch 50bp</t>
        </is>
      </c>
      <c r="K34" s="28" t="inlineStr">
        <is>
          <t>≥75bp hoặc họp khẩn</t>
        </is>
      </c>
      <c r="L34" s="30" t="n">
        <v>-614</v>
      </c>
      <c r="M34" s="31" t="n"/>
      <c r="N34" s="31" t="n"/>
      <c r="O34" s="32">
        <f>IF(OR(M34="",N34=""),0,L34*M34*N34)</f>
        <v/>
      </c>
    </row>
    <row r="35" ht="23.85" customHeight="1" s="17">
      <c r="A35" s="28" t="n">
        <v>30</v>
      </c>
      <c r="B35" s="28" t="inlineStr">
        <is>
          <t>B. Thị trường truyền thống</t>
        </is>
      </c>
      <c r="C35" s="28" t="inlineStr">
        <is>
          <t>Kích thích kinh tế / PBoC Trung Quốc</t>
        </is>
      </c>
      <c r="D35" s="28" t="inlineStr">
        <is>
          <t>Công bố kích thích</t>
        </is>
      </c>
      <c r="E35" s="28" t="inlineStr">
        <is>
          <t>Quy mô biện pháp</t>
        </is>
      </c>
      <c r="F35" s="28" t="inlineStr">
        <is>
          <t>PBoC, Reuters</t>
        </is>
      </c>
      <c r="G35" s="28" t="inlineStr">
        <is>
          <t>Tín hiệu chung</t>
        </is>
      </c>
      <c r="H35" s="28" t="inlineStr">
        <is>
          <t>Biện pháp nhỏ</t>
        </is>
      </c>
      <c r="I35" s="28" t="inlineStr">
        <is>
          <t>Hạ lãi suất/RRR</t>
        </is>
      </c>
      <c r="J35" s="28" t="inlineStr">
        <is>
          <t>Gói &gt;500 tỷ CNY</t>
        </is>
      </c>
      <c r="K35" s="28" t="inlineStr">
        <is>
          <t>Gói đồng bộ lớn chưa từng có</t>
        </is>
      </c>
      <c r="L35" s="30" t="n">
        <v>31</v>
      </c>
      <c r="M35" s="31" t="n"/>
      <c r="N35" s="31" t="n"/>
      <c r="O35" s="32">
        <f>IF(OR(M35="",N35=""),0,L35*M35*N35)</f>
        <v/>
      </c>
    </row>
    <row r="36" ht="35.05" customHeight="1" s="17">
      <c r="A36" s="28" t="n">
        <v>31</v>
      </c>
      <c r="B36" s="28" t="inlineStr">
        <is>
          <t>B. Thị trường truyền thống</t>
        </is>
      </c>
      <c r="C36" s="28" t="inlineStr">
        <is>
          <t>Lãi suất ECB</t>
        </is>
      </c>
      <c r="D36" s="28" t="inlineStr">
        <is>
          <t>Hawkish hơn kỳ vọng</t>
        </is>
      </c>
      <c r="E36" s="28" t="inlineStr">
        <is>
          <t>Chênh lệch so kỳ vọng</t>
        </is>
      </c>
      <c r="F36" s="28" t="inlineStr">
        <is>
          <t>ecb.europa.eu</t>
        </is>
      </c>
      <c r="G36" s="28" t="inlineStr">
        <is>
          <t>Đúng kỳ vọng, thông điệp lệch nhẹ</t>
        </is>
      </c>
      <c r="H36" s="28" t="inlineStr">
        <is>
          <t>Thông điệp lệch rõ</t>
        </is>
      </c>
      <c r="I36" s="28" t="inlineStr">
        <is>
          <t>Lệch 25bp so kỳ vọng</t>
        </is>
      </c>
      <c r="J36" s="28" t="inlineStr">
        <is>
          <t>Lệch 50bp</t>
        </is>
      </c>
      <c r="K36" s="28" t="inlineStr">
        <is>
          <t>≥75bp hoặc họp khẩn</t>
        </is>
      </c>
      <c r="L36" s="30" t="n">
        <v>-250</v>
      </c>
      <c r="M36" s="31" t="n"/>
      <c r="N36" s="31" t="n"/>
      <c r="O36" s="32">
        <f>IF(OR(M36="",N36=""),0,L36*M36*N36)</f>
        <v/>
      </c>
    </row>
    <row r="37" ht="15" customHeight="1" s="17">
      <c r="A37" s="28" t="n">
        <v>32</v>
      </c>
      <c r="B37" s="28" t="inlineStr">
        <is>
          <t>B. Thị trường truyền thống</t>
        </is>
      </c>
      <c r="C37" s="28" t="inlineStr">
        <is>
          <t>Cung tiền M2 toàn cầu</t>
        </is>
      </c>
      <c r="D37" s="28" t="inlineStr">
        <is>
          <t>M2 tăng</t>
        </is>
      </c>
      <c r="E37" s="28" t="inlineStr">
        <is>
          <t>Thay đổi tháng (%)</t>
        </is>
      </c>
      <c r="F37" s="28" t="inlineStr">
        <is>
          <t>FRED, TradingView (GM2)</t>
        </is>
      </c>
      <c r="G37" s="28" t="inlineStr">
        <is>
          <t>0.2</t>
        </is>
      </c>
      <c r="H37" s="28" t="inlineStr">
        <is>
          <t>0.5</t>
        </is>
      </c>
      <c r="I37" s="28" t="inlineStr">
        <is>
          <t>1.0</t>
        </is>
      </c>
      <c r="J37" s="28" t="inlineStr">
        <is>
          <t>1.5</t>
        </is>
      </c>
      <c r="K37" s="28" t="inlineStr">
        <is>
          <t>≥2</t>
        </is>
      </c>
      <c r="L37" s="30" t="n">
        <v>500</v>
      </c>
      <c r="M37" s="31" t="n"/>
      <c r="N37" s="31" t="n"/>
      <c r="O37" s="32">
        <f>IF(OR(M37="",N37=""),0,L37*M37*N37)</f>
        <v/>
      </c>
    </row>
    <row r="38" ht="15" customHeight="1" s="17">
      <c r="A38" s="28" t="n">
        <v>33</v>
      </c>
      <c r="B38" s="29" t="inlineStr">
        <is>
          <t>C. Dòng tiền tổ chức</t>
        </is>
      </c>
      <c r="C38" s="28" t="inlineStr">
        <is>
          <t>Dòng tiền ròng ETF BTC spot Mỹ</t>
        </is>
      </c>
      <c r="D38" s="28" t="inlineStr">
        <is>
          <t>Dòng vào ròng</t>
        </is>
      </c>
      <c r="E38" s="28" t="inlineStr">
        <is>
          <t>Dòng tiền ròng ngày (triệu USD)</t>
        </is>
      </c>
      <c r="F38" s="28" t="inlineStr">
        <is>
          <t>Farside Investors, SoSoValue</t>
        </is>
      </c>
      <c r="G38" s="28" t="inlineStr">
        <is>
          <t>50</t>
        </is>
      </c>
      <c r="H38" s="28" t="inlineStr">
        <is>
          <t>150</t>
        </is>
      </c>
      <c r="I38" s="28" t="inlineStr">
        <is>
          <t>300</t>
        </is>
      </c>
      <c r="J38" s="28" t="inlineStr">
        <is>
          <t>600</t>
        </is>
      </c>
      <c r="K38" s="28" t="inlineStr">
        <is>
          <t>≥1000</t>
        </is>
      </c>
      <c r="L38" s="30" t="n">
        <v>900</v>
      </c>
      <c r="M38" s="31" t="n">
        <v>1</v>
      </c>
      <c r="N38" s="31" t="n">
        <v>0.5</v>
      </c>
      <c r="O38" s="32">
        <f>IF(OR(M38="",N38=""),0,L38*M38*N38)</f>
        <v/>
      </c>
    </row>
    <row r="39" ht="15" customHeight="1" s="17">
      <c r="A39" s="28" t="n">
        <v>34</v>
      </c>
      <c r="B39" s="28" t="inlineStr">
        <is>
          <t>C. Dòng tiền tổ chức</t>
        </is>
      </c>
      <c r="C39" s="28" t="inlineStr">
        <is>
          <t>Dòng tiền ETF ETH</t>
        </is>
      </c>
      <c r="D39" s="28" t="inlineStr">
        <is>
          <t>Dòng vào ròng</t>
        </is>
      </c>
      <c r="E39" s="28" t="inlineStr">
        <is>
          <t>Dòng tiền ròng ngày (triệu USD)</t>
        </is>
      </c>
      <c r="F39" s="28" t="inlineStr">
        <is>
          <t>Farside, SoSoValue</t>
        </is>
      </c>
      <c r="G39" s="28" t="inlineStr">
        <is>
          <t>20</t>
        </is>
      </c>
      <c r="H39" s="28" t="inlineStr">
        <is>
          <t>50</t>
        </is>
      </c>
      <c r="I39" s="28" t="inlineStr">
        <is>
          <t>100</t>
        </is>
      </c>
      <c r="J39" s="28" t="inlineStr">
        <is>
          <t>250</t>
        </is>
      </c>
      <c r="K39" s="28" t="inlineStr">
        <is>
          <t>≥500</t>
        </is>
      </c>
      <c r="L39" s="30" t="n">
        <v>250</v>
      </c>
      <c r="M39" s="31" t="n"/>
      <c r="N39" s="31" t="n"/>
      <c r="O39" s="32">
        <f>IF(OR(M39="",N39=""),0,L39*M39*N39)</f>
        <v/>
      </c>
    </row>
    <row r="40" ht="15" customHeight="1" s="17">
      <c r="A40" s="28" t="n">
        <v>35</v>
      </c>
      <c r="B40" s="28" t="inlineStr">
        <is>
          <t>C. Dòng tiền tổ chức</t>
        </is>
      </c>
      <c r="C40" s="28" t="inlineStr">
        <is>
          <t>Coinbase Premium</t>
        </is>
      </c>
      <c r="D40" s="28" t="inlineStr">
        <is>
          <t>Premium dương</t>
        </is>
      </c>
      <c r="E40" s="28" t="inlineStr">
        <is>
          <t>Premium Coinbase so Binance (%)</t>
        </is>
      </c>
      <c r="F40" s="28" t="inlineStr">
        <is>
          <t>CryptoQuant</t>
        </is>
      </c>
      <c r="G40" s="28" t="inlineStr">
        <is>
          <t>0.02</t>
        </is>
      </c>
      <c r="H40" s="28" t="inlineStr">
        <is>
          <t>0.05</t>
        </is>
      </c>
      <c r="I40" s="28" t="inlineStr">
        <is>
          <t>0.1</t>
        </is>
      </c>
      <c r="J40" s="28" t="inlineStr">
        <is>
          <t>0.2</t>
        </is>
      </c>
      <c r="K40" s="28" t="inlineStr">
        <is>
          <t>≥0.3</t>
        </is>
      </c>
      <c r="L40" s="30" t="n">
        <v>366</v>
      </c>
      <c r="M40" s="31" t="n"/>
      <c r="N40" s="31" t="n"/>
      <c r="O40" s="32">
        <f>IF(OR(M40="",N40=""),0,L40*M40*N40)</f>
        <v/>
      </c>
    </row>
    <row r="41" ht="15" customHeight="1" s="17">
      <c r="A41" s="28" t="n">
        <v>36</v>
      </c>
      <c r="B41" s="28" t="inlineStr">
        <is>
          <t>C. Dòng tiền tổ chức</t>
        </is>
      </c>
      <c r="C41" s="28" t="inlineStr">
        <is>
          <t>Doanh nghiệp mua/bán BTC</t>
        </is>
      </c>
      <c r="D41" s="28" t="inlineStr">
        <is>
          <t>Công bố mua</t>
        </is>
      </c>
      <c r="E41" s="28" t="inlineStr">
        <is>
          <t>Số BTC mua (bán → hướng −1)</t>
        </is>
      </c>
      <c r="F41" s="28" t="inlineStr">
        <is>
          <t>SEC 8-K, bitcointreasuries.net</t>
        </is>
      </c>
      <c r="G41" s="28" t="inlineStr">
        <is>
          <t>500</t>
        </is>
      </c>
      <c r="H41" s="28" t="inlineStr">
        <is>
          <t>2k</t>
        </is>
      </c>
      <c r="I41" s="28" t="inlineStr">
        <is>
          <t>5k</t>
        </is>
      </c>
      <c r="J41" s="28" t="inlineStr">
        <is>
          <t>10k</t>
        </is>
      </c>
      <c r="K41" s="28" t="inlineStr">
        <is>
          <t>≥20k</t>
        </is>
      </c>
      <c r="L41" s="30" t="n">
        <v>713</v>
      </c>
      <c r="M41" s="31" t="n"/>
      <c r="N41" s="31" t="n"/>
      <c r="O41" s="32">
        <f>IF(OR(M41="",N41=""),0,L41*M41*N41)</f>
        <v/>
      </c>
    </row>
    <row r="42" ht="23.85" customHeight="1" s="17">
      <c r="A42" s="28" t="n">
        <v>37</v>
      </c>
      <c r="B42" s="28" t="inlineStr">
        <is>
          <t>C. Dòng tiền tổ chức</t>
        </is>
      </c>
      <c r="C42" s="28" t="inlineStr">
        <is>
          <t>Quỹ / tổ chức công bố nắm giữ BTC</t>
        </is>
      </c>
      <c r="D42" s="28" t="inlineStr">
        <is>
          <t>Công bố mua / nắm giữ mới</t>
        </is>
      </c>
      <c r="E42" s="28" t="inlineStr">
        <is>
          <t>Quy mô tổ chức</t>
        </is>
      </c>
      <c r="F42" s="28" t="inlineStr">
        <is>
          <t>13F (SEC), Reuters</t>
        </is>
      </c>
      <c r="G42" s="28" t="inlineStr">
        <is>
          <t>Quỹ nhỏ</t>
        </is>
      </c>
      <c r="H42" s="28" t="inlineStr">
        <is>
          <t>Quỹ vừa</t>
        </is>
      </c>
      <c r="I42" s="28" t="inlineStr">
        <is>
          <t>Quỹ lớn / 13F lớn</t>
        </is>
      </c>
      <c r="J42" s="28" t="inlineStr">
        <is>
          <t>Quỹ hưu trí / quỹ chủ quyền</t>
        </is>
      </c>
      <c r="K42" s="28" t="inlineStr">
        <is>
          <t>Tổ chức hàng đầu toàn cầu</t>
        </is>
      </c>
      <c r="L42" s="30" t="n">
        <v>307</v>
      </c>
      <c r="M42" s="31" t="n"/>
      <c r="N42" s="31" t="n"/>
      <c r="O42" s="32">
        <f>IF(OR(M42="",N42=""),0,L42*M42*N42)</f>
        <v/>
      </c>
    </row>
    <row r="43" ht="15" customHeight="1" s="17">
      <c r="A43" s="28" t="n">
        <v>38</v>
      </c>
      <c r="B43" s="28" t="inlineStr">
        <is>
          <t>C. Dòng tiền tổ chức</t>
        </is>
      </c>
      <c r="C43" s="28" t="inlineStr">
        <is>
          <t>Premium/discount quỹ BTC</t>
        </is>
      </c>
      <c r="D43" s="28" t="inlineStr">
        <is>
          <t>Premium tăng</t>
        </is>
      </c>
      <c r="E43" s="28" t="inlineStr">
        <is>
          <t>Thay đổi premium (điểm %)</t>
        </is>
      </c>
      <c r="F43" s="28" t="inlineStr">
        <is>
          <t>YCharts, quỹ công bố</t>
        </is>
      </c>
      <c r="G43" s="28" t="inlineStr">
        <is>
          <t>0.5</t>
        </is>
      </c>
      <c r="H43" s="28" t="inlineStr">
        <is>
          <t>1</t>
        </is>
      </c>
      <c r="I43" s="28" t="inlineStr">
        <is>
          <t>2</t>
        </is>
      </c>
      <c r="J43" s="28" t="inlineStr">
        <is>
          <t>4</t>
        </is>
      </c>
      <c r="K43" s="28" t="inlineStr">
        <is>
          <t>≥6</t>
        </is>
      </c>
      <c r="L43" s="30" t="n">
        <v>150</v>
      </c>
      <c r="M43" s="31" t="n"/>
      <c r="N43" s="31" t="n"/>
      <c r="O43" s="32">
        <f>IF(OR(M43="",N43=""),0,L43*M43*N43)</f>
        <v/>
      </c>
    </row>
    <row r="44" ht="15" customHeight="1" s="17">
      <c r="A44" s="28" t="n">
        <v>39</v>
      </c>
      <c r="B44" s="28" t="inlineStr">
        <is>
          <t>C. Dòng tiền tổ chức</t>
        </is>
      </c>
      <c r="C44" s="28" t="inlineStr">
        <is>
          <t>Nguồn cung USDT</t>
        </is>
      </c>
      <c r="D44" s="28" t="inlineStr">
        <is>
          <t>Tăng</t>
        </is>
      </c>
      <c r="E44" s="28" t="inlineStr">
        <is>
          <t>Thay đổi ngày (tỷ USD)</t>
        </is>
      </c>
      <c r="F44" s="28" t="inlineStr">
        <is>
          <t>DefiLlama, Tether transparency</t>
        </is>
      </c>
      <c r="G44" s="28" t="inlineStr">
        <is>
          <t>0.2</t>
        </is>
      </c>
      <c r="H44" s="28" t="inlineStr">
        <is>
          <t>0.5</t>
        </is>
      </c>
      <c r="I44" s="28" t="inlineStr">
        <is>
          <t>1</t>
        </is>
      </c>
      <c r="J44" s="28" t="inlineStr">
        <is>
          <t>2</t>
        </is>
      </c>
      <c r="K44" s="28" t="inlineStr">
        <is>
          <t>≥3</t>
        </is>
      </c>
      <c r="L44" s="30" t="n">
        <v>469</v>
      </c>
      <c r="M44" s="31" t="n"/>
      <c r="N44" s="31" t="n"/>
      <c r="O44" s="32">
        <f>IF(OR(M44="",N44=""),0,L44*M44*N44)</f>
        <v/>
      </c>
    </row>
    <row r="45" ht="15" customHeight="1" s="17">
      <c r="A45" s="28" t="n">
        <v>40</v>
      </c>
      <c r="B45" s="28" t="inlineStr">
        <is>
          <t>C. Dòng tiền tổ chức</t>
        </is>
      </c>
      <c r="C45" s="28" t="inlineStr">
        <is>
          <t>Nguồn cung USDC</t>
        </is>
      </c>
      <c r="D45" s="28" t="inlineStr">
        <is>
          <t>Tăng</t>
        </is>
      </c>
      <c r="E45" s="28" t="inlineStr">
        <is>
          <t>Thay đổi ngày (tỷ USD)</t>
        </is>
      </c>
      <c r="F45" s="28" t="inlineStr">
        <is>
          <t>DefiLlama, Circle</t>
        </is>
      </c>
      <c r="G45" s="28" t="inlineStr">
        <is>
          <t>0.1</t>
        </is>
      </c>
      <c r="H45" s="28" t="inlineStr">
        <is>
          <t>0.3</t>
        </is>
      </c>
      <c r="I45" s="28" t="inlineStr">
        <is>
          <t>0.6</t>
        </is>
      </c>
      <c r="J45" s="28" t="inlineStr">
        <is>
          <t>1</t>
        </is>
      </c>
      <c r="K45" s="28" t="inlineStr">
        <is>
          <t>≥2</t>
        </is>
      </c>
      <c r="L45" s="30" t="n">
        <v>-60</v>
      </c>
      <c r="M45" s="31" t="n"/>
      <c r="N45" s="31" t="n"/>
      <c r="O45" s="32">
        <f>IF(OR(M45="",N45=""),0,L45*M45*N45)</f>
        <v/>
      </c>
    </row>
    <row r="46" ht="15" customHeight="1" s="17">
      <c r="A46" s="28" t="n">
        <v>41</v>
      </c>
      <c r="B46" s="28" t="inlineStr">
        <is>
          <t>C. Dòng tiền tổ chức</t>
        </is>
      </c>
      <c r="C46" s="28" t="inlineStr">
        <is>
          <t>Mint/burn stablecoin lớn</t>
        </is>
      </c>
      <c r="D46" s="28" t="inlineStr">
        <is>
          <t>Mint</t>
        </is>
      </c>
      <c r="E46" s="28" t="inlineStr">
        <is>
          <t>Quy mô lô (triệu USD)</t>
        </is>
      </c>
      <c r="F46" s="28" t="inlineStr">
        <is>
          <t>Whale Alert</t>
        </is>
      </c>
      <c r="G46" s="28" t="inlineStr">
        <is>
          <t>100</t>
        </is>
      </c>
      <c r="H46" s="28" t="inlineStr">
        <is>
          <t>250</t>
        </is>
      </c>
      <c r="I46" s="28" t="inlineStr">
        <is>
          <t>500</t>
        </is>
      </c>
      <c r="J46" s="28" t="inlineStr">
        <is>
          <t>1000</t>
        </is>
      </c>
      <c r="K46" s="28" t="inlineStr">
        <is>
          <t>≥2000</t>
        </is>
      </c>
      <c r="L46" s="30" t="n">
        <v>400</v>
      </c>
      <c r="M46" s="31" t="n"/>
      <c r="N46" s="31" t="n"/>
      <c r="O46" s="32">
        <f>IF(OR(M46="",N46=""),0,L46*M46*N46)</f>
        <v/>
      </c>
    </row>
    <row r="47" ht="23.85" customHeight="1" s="17">
      <c r="A47" s="28" t="n">
        <v>42</v>
      </c>
      <c r="B47" s="28" t="inlineStr">
        <is>
          <t>C. Dòng tiền tổ chức</t>
        </is>
      </c>
      <c r="C47" s="28" t="inlineStr">
        <is>
          <t>Báo cáo dòng vốn CoinShares</t>
        </is>
      </c>
      <c r="D47" s="28" t="inlineStr">
        <is>
          <t>Dòng vào</t>
        </is>
      </c>
      <c r="E47" s="28" t="inlineStr">
        <is>
          <t>Dòng vốn tuần vào sản phẩm BTC (triệu USD)</t>
        </is>
      </c>
      <c r="F47" s="28" t="inlineStr">
        <is>
          <t>CoinShares Fund Flows</t>
        </is>
      </c>
      <c r="G47" s="28" t="inlineStr">
        <is>
          <t>50</t>
        </is>
      </c>
      <c r="H47" s="28" t="inlineStr">
        <is>
          <t>150</t>
        </is>
      </c>
      <c r="I47" s="28" t="inlineStr">
        <is>
          <t>400</t>
        </is>
      </c>
      <c r="J47" s="28" t="inlineStr">
        <is>
          <t>800</t>
        </is>
      </c>
      <c r="K47" s="28" t="inlineStr">
        <is>
          <t>≥1500</t>
        </is>
      </c>
      <c r="L47" s="30" t="n">
        <v>300</v>
      </c>
      <c r="M47" s="31" t="n"/>
      <c r="N47" s="31" t="n"/>
      <c r="O47" s="32">
        <f>IF(OR(M47="",N47=""),0,L47*M47*N47)</f>
        <v/>
      </c>
    </row>
    <row r="48" ht="15" customHeight="1" s="17">
      <c r="A48" s="28" t="n">
        <v>43</v>
      </c>
      <c r="B48" s="28" t="inlineStr">
        <is>
          <t>C. Dòng tiền tổ chức</t>
        </is>
      </c>
      <c r="C48" s="28" t="inlineStr">
        <is>
          <t>Open interest futures CME</t>
        </is>
      </c>
      <c r="D48" s="28" t="inlineStr">
        <is>
          <t>OI tăng</t>
        </is>
      </c>
      <c r="E48" s="28" t="inlineStr">
        <is>
          <t>Thay đổi ngày (%)</t>
        </is>
      </c>
      <c r="F48" s="28" t="inlineStr">
        <is>
          <t>CME, Coinglass</t>
        </is>
      </c>
      <c r="G48" s="28" t="inlineStr">
        <is>
          <t>2</t>
        </is>
      </c>
      <c r="H48" s="28" t="inlineStr">
        <is>
          <t>4</t>
        </is>
      </c>
      <c r="I48" s="28" t="inlineStr">
        <is>
          <t>7</t>
        </is>
      </c>
      <c r="J48" s="28" t="inlineStr">
        <is>
          <t>10</t>
        </is>
      </c>
      <c r="K48" s="28" t="inlineStr">
        <is>
          <t>≥15</t>
        </is>
      </c>
      <c r="L48" s="30" t="n">
        <v>200</v>
      </c>
      <c r="M48" s="31" t="n"/>
      <c r="N48" s="31" t="n"/>
      <c r="O48" s="32">
        <f>IF(OR(M48="",N48=""),0,L48*M48*N48)</f>
        <v/>
      </c>
    </row>
    <row r="49" ht="15" customHeight="1" s="17">
      <c r="A49" s="28" t="n">
        <v>44</v>
      </c>
      <c r="B49" s="28" t="inlineStr">
        <is>
          <t>C. Dòng tiền tổ chức</t>
        </is>
      </c>
      <c r="C49" s="28" t="inlineStr">
        <is>
          <t>Kimchi premium</t>
        </is>
      </c>
      <c r="D49" s="28" t="inlineStr">
        <is>
          <t>Premium tăng</t>
        </is>
      </c>
      <c r="E49" s="28" t="inlineStr">
        <is>
          <t>Mức premium (%)</t>
        </is>
      </c>
      <c r="F49" s="28" t="inlineStr">
        <is>
          <t>CryptoQuant</t>
        </is>
      </c>
      <c r="G49" s="28" t="inlineStr">
        <is>
          <t>1</t>
        </is>
      </c>
      <c r="H49" s="28" t="inlineStr">
        <is>
          <t>2</t>
        </is>
      </c>
      <c r="I49" s="28" t="inlineStr">
        <is>
          <t>3</t>
        </is>
      </c>
      <c r="J49" s="28" t="inlineStr">
        <is>
          <t>5</t>
        </is>
      </c>
      <c r="K49" s="28" t="inlineStr">
        <is>
          <t>≥8</t>
        </is>
      </c>
      <c r="L49" s="30" t="n">
        <v>-309</v>
      </c>
      <c r="M49" s="31" t="n"/>
      <c r="N49" s="31" t="n"/>
      <c r="O49" s="32">
        <f>IF(OR(M49="",N49=""),0,L49*M49*N49)</f>
        <v/>
      </c>
    </row>
    <row r="50" ht="15" customHeight="1" s="17">
      <c r="A50" s="28" t="n">
        <v>45</v>
      </c>
      <c r="B50" s="29" t="inlineStr">
        <is>
          <t>D. Phái sinh</t>
        </is>
      </c>
      <c r="C50" s="28" t="inlineStr">
        <is>
          <t>Funding rate</t>
        </is>
      </c>
      <c r="D50" s="28" t="inlineStr">
        <is>
          <t>Funding dương cao (đông long)</t>
        </is>
      </c>
      <c r="E50" s="28" t="inlineStr">
        <is>
          <t>Funding trung bình (%/8h)</t>
        </is>
      </c>
      <c r="F50" s="28" t="inlineStr">
        <is>
          <t>Coinglass</t>
        </is>
      </c>
      <c r="G50" s="28" t="inlineStr">
        <is>
          <t>0.01</t>
        </is>
      </c>
      <c r="H50" s="28" t="inlineStr">
        <is>
          <t>0.02</t>
        </is>
      </c>
      <c r="I50" s="28" t="inlineStr">
        <is>
          <t>0.04</t>
        </is>
      </c>
      <c r="J50" s="28" t="inlineStr">
        <is>
          <t>0.07</t>
        </is>
      </c>
      <c r="K50" s="28" t="inlineStr">
        <is>
          <t>≥0.1</t>
        </is>
      </c>
      <c r="L50" s="30" t="n">
        <v>-755</v>
      </c>
      <c r="M50" s="31" t="n"/>
      <c r="N50" s="31" t="n"/>
      <c r="O50" s="32">
        <f>IF(OR(M50="",N50=""),0,L50*M50*N50)</f>
        <v/>
      </c>
    </row>
    <row r="51" ht="15" customHeight="1" s="17">
      <c r="A51" s="28" t="n">
        <v>46</v>
      </c>
      <c r="B51" s="28" t="inlineStr">
        <is>
          <t>D. Phái sinh</t>
        </is>
      </c>
      <c r="C51" s="28" t="inlineStr">
        <is>
          <t>Open interest BTC toàn sàn</t>
        </is>
      </c>
      <c r="D51" s="28" t="inlineStr">
        <is>
          <t>OI tăng mạnh</t>
        </is>
      </c>
      <c r="E51" s="28" t="inlineStr">
        <is>
          <t>Thay đổi ngày (%)</t>
        </is>
      </c>
      <c r="F51" s="28" t="inlineStr">
        <is>
          <t>Coinglass</t>
        </is>
      </c>
      <c r="G51" s="28" t="inlineStr">
        <is>
          <t>2</t>
        </is>
      </c>
      <c r="H51" s="28" t="inlineStr">
        <is>
          <t>4</t>
        </is>
      </c>
      <c r="I51" s="28" t="inlineStr">
        <is>
          <t>7</t>
        </is>
      </c>
      <c r="J51" s="28" t="inlineStr">
        <is>
          <t>10</t>
        </is>
      </c>
      <c r="K51" s="28" t="inlineStr">
        <is>
          <t>≥15</t>
        </is>
      </c>
      <c r="L51" s="30" t="n">
        <v>-300</v>
      </c>
      <c r="M51" s="31" t="n"/>
      <c r="N51" s="31" t="n"/>
      <c r="O51" s="32">
        <f>IF(OR(M51="",N51=""),0,L51*M51*N51)</f>
        <v/>
      </c>
    </row>
    <row r="52" ht="15" customHeight="1" s="17">
      <c r="A52" s="28" t="n">
        <v>47</v>
      </c>
      <c r="B52" s="28" t="inlineStr">
        <is>
          <t>D. Phái sinh</t>
        </is>
      </c>
      <c r="C52" s="28" t="inlineStr">
        <is>
          <t>Thanh lý long</t>
        </is>
      </c>
      <c r="D52" s="28" t="inlineStr">
        <is>
          <t>Thanh lý long lớn</t>
        </is>
      </c>
      <c r="E52" s="28" t="inlineStr">
        <is>
          <t>Tổng thanh lý long 24h (triệu USD)</t>
        </is>
      </c>
      <c r="F52" s="28" t="inlineStr">
        <is>
          <t>Coinglass</t>
        </is>
      </c>
      <c r="G52" s="28" t="inlineStr">
        <is>
          <t>50</t>
        </is>
      </c>
      <c r="H52" s="28" t="inlineStr">
        <is>
          <t>150</t>
        </is>
      </c>
      <c r="I52" s="28" t="inlineStr">
        <is>
          <t>300</t>
        </is>
      </c>
      <c r="J52" s="28" t="inlineStr">
        <is>
          <t>600</t>
        </is>
      </c>
      <c r="K52" s="28" t="inlineStr">
        <is>
          <t>≥1000</t>
        </is>
      </c>
      <c r="L52" s="30" t="n">
        <v>-300</v>
      </c>
      <c r="M52" s="31" t="n"/>
      <c r="N52" s="31" t="n"/>
      <c r="O52" s="32">
        <f>IF(OR(M52="",N52=""),0,L52*M52*N52)</f>
        <v/>
      </c>
    </row>
    <row r="53" ht="15" customHeight="1" s="17">
      <c r="A53" s="28" t="n">
        <v>48</v>
      </c>
      <c r="B53" s="28" t="inlineStr">
        <is>
          <t>D. Phái sinh</t>
        </is>
      </c>
      <c r="C53" s="28" t="inlineStr">
        <is>
          <t>Thanh lý short</t>
        </is>
      </c>
      <c r="D53" s="28" t="inlineStr">
        <is>
          <t>Thanh lý short lớn</t>
        </is>
      </c>
      <c r="E53" s="28" t="inlineStr">
        <is>
          <t>Tổng thanh lý short 24h (triệu USD)</t>
        </is>
      </c>
      <c r="F53" s="28" t="inlineStr">
        <is>
          <t>Coinglass</t>
        </is>
      </c>
      <c r="G53" s="28" t="inlineStr">
        <is>
          <t>50</t>
        </is>
      </c>
      <c r="H53" s="28" t="inlineStr">
        <is>
          <t>150</t>
        </is>
      </c>
      <c r="I53" s="28" t="inlineStr">
        <is>
          <t>300</t>
        </is>
      </c>
      <c r="J53" s="28" t="inlineStr">
        <is>
          <t>600</t>
        </is>
      </c>
      <c r="K53" s="28" t="inlineStr">
        <is>
          <t>≥1000</t>
        </is>
      </c>
      <c r="L53" s="30" t="n">
        <v>300</v>
      </c>
      <c r="M53" s="31" t="n"/>
      <c r="N53" s="31" t="n"/>
      <c r="O53" s="32">
        <f>IF(OR(M53="",N53=""),0,L53*M53*N53)</f>
        <v/>
      </c>
    </row>
    <row r="54" ht="15" customHeight="1" s="17">
      <c r="A54" s="28" t="n">
        <v>49</v>
      </c>
      <c r="B54" s="28" t="inlineStr">
        <is>
          <t>D. Phái sinh</t>
        </is>
      </c>
      <c r="C54" s="28" t="inlineStr">
        <is>
          <t>Tỷ lệ long/short</t>
        </is>
      </c>
      <c r="D54" s="28" t="inlineStr">
        <is>
          <t>Tỷ lệ long cao</t>
        </is>
      </c>
      <c r="E54" s="28" t="inlineStr">
        <is>
          <t>Long/short ratio tài khoản</t>
        </is>
      </c>
      <c r="F54" s="28" t="inlineStr">
        <is>
          <t>Coinglass, Binance</t>
        </is>
      </c>
      <c r="G54" s="28" t="inlineStr">
        <is>
          <t>1.2</t>
        </is>
      </c>
      <c r="H54" s="28" t="inlineStr">
        <is>
          <t>1.5</t>
        </is>
      </c>
      <c r="I54" s="28" t="inlineStr">
        <is>
          <t>2.0</t>
        </is>
      </c>
      <c r="J54" s="28" t="inlineStr">
        <is>
          <t>2.5</t>
        </is>
      </c>
      <c r="K54" s="28" t="inlineStr">
        <is>
          <t>≥3</t>
        </is>
      </c>
      <c r="L54" s="30" t="n">
        <v>-250</v>
      </c>
      <c r="M54" s="31" t="n"/>
      <c r="N54" s="31" t="n"/>
      <c r="O54" s="32">
        <f>IF(OR(M54="",N54=""),0,L54*M54*N54)</f>
        <v/>
      </c>
    </row>
    <row r="55" ht="23.85" customHeight="1" s="17">
      <c r="A55" s="28" t="n">
        <v>50</v>
      </c>
      <c r="B55" s="28" t="inlineStr">
        <is>
          <t>D. Phái sinh</t>
        </is>
      </c>
      <c r="C55" s="28" t="inlineStr">
        <is>
          <t>Quyền chọn đáo hạn (max pain)</t>
        </is>
      </c>
      <c r="D55" s="28" t="inlineStr">
        <is>
          <t>Giá cao hơn max pain (bị kéo về)</t>
        </is>
      </c>
      <c r="E55" s="28" t="inlineStr">
        <is>
          <t>Giá trị đáo hạn và khoảng cách tới max pain</t>
        </is>
      </c>
      <c r="F55" s="28" t="inlineStr">
        <is>
          <t>Deribit, Coinglass</t>
        </is>
      </c>
      <c r="G55" s="28" t="inlineStr">
        <is>
          <t>&lt;1 tỷ USD</t>
        </is>
      </c>
      <c r="H55" s="28" t="inlineStr">
        <is>
          <t>1–3 tỷ</t>
        </is>
      </c>
      <c r="I55" s="28" t="inlineStr">
        <is>
          <t>3–5 tỷ</t>
        </is>
      </c>
      <c r="J55" s="28" t="inlineStr">
        <is>
          <t>5–10 tỷ</t>
        </is>
      </c>
      <c r="K55" s="28" t="inlineStr">
        <is>
          <t>≥10 tỷ và lệch &gt;5%</t>
        </is>
      </c>
      <c r="L55" s="30" t="n">
        <v>-200</v>
      </c>
      <c r="M55" s="31" t="n"/>
      <c r="N55" s="31" t="n"/>
      <c r="O55" s="32">
        <f>IF(OR(M55="",N55=""),0,L55*M55*N55)</f>
        <v/>
      </c>
    </row>
    <row r="56" ht="15" customHeight="1" s="17">
      <c r="A56" s="28" t="n">
        <v>51</v>
      </c>
      <c r="B56" s="28" t="inlineStr">
        <is>
          <t>D. Phái sinh</t>
        </is>
      </c>
      <c r="C56" s="28" t="inlineStr">
        <is>
          <t>Put/Call ratio</t>
        </is>
      </c>
      <c r="D56" s="28" t="inlineStr">
        <is>
          <t>P/C tăng (phòng hộ giảm)</t>
        </is>
      </c>
      <c r="E56" s="28" t="inlineStr">
        <is>
          <t>Put/Call ratio theo OI</t>
        </is>
      </c>
      <c r="F56" s="28" t="inlineStr">
        <is>
          <t>Deribit</t>
        </is>
      </c>
      <c r="G56" s="28" t="inlineStr">
        <is>
          <t>0.7</t>
        </is>
      </c>
      <c r="H56" s="28" t="inlineStr">
        <is>
          <t>0.8</t>
        </is>
      </c>
      <c r="I56" s="28" t="inlineStr">
        <is>
          <t>1.0</t>
        </is>
      </c>
      <c r="J56" s="28" t="inlineStr">
        <is>
          <t>1.2</t>
        </is>
      </c>
      <c r="K56" s="28" t="inlineStr">
        <is>
          <t>≥1.5</t>
        </is>
      </c>
      <c r="L56" s="30" t="n">
        <v>-250</v>
      </c>
      <c r="M56" s="31" t="n"/>
      <c r="N56" s="31" t="n"/>
      <c r="O56" s="32">
        <f>IF(OR(M56="",N56=""),0,L56*M56*N56)</f>
        <v/>
      </c>
    </row>
    <row r="57" ht="15" customHeight="1" s="17">
      <c r="A57" s="28" t="n">
        <v>52</v>
      </c>
      <c r="B57" s="28" t="inlineStr">
        <is>
          <t>D. Phái sinh</t>
        </is>
      </c>
      <c r="C57" s="28" t="inlineStr">
        <is>
          <t>Implied volatility (DVOL)</t>
        </is>
      </c>
      <c r="D57" s="28" t="inlineStr">
        <is>
          <t>IV tăng mạnh</t>
        </is>
      </c>
      <c r="E57" s="28" t="inlineStr">
        <is>
          <t>Thay đổi DVOL trong ngày (điểm)</t>
        </is>
      </c>
      <c r="F57" s="28" t="inlineStr">
        <is>
          <t>Deribit DVOL</t>
        </is>
      </c>
      <c r="G57" s="28" t="inlineStr">
        <is>
          <t>2</t>
        </is>
      </c>
      <c r="H57" s="28" t="inlineStr">
        <is>
          <t>4</t>
        </is>
      </c>
      <c r="I57" s="28" t="inlineStr">
        <is>
          <t>7</t>
        </is>
      </c>
      <c r="J57" s="28" t="inlineStr">
        <is>
          <t>10</t>
        </is>
      </c>
      <c r="K57" s="28" t="inlineStr">
        <is>
          <t>≥15</t>
        </is>
      </c>
      <c r="L57" s="30" t="n">
        <v>329</v>
      </c>
      <c r="M57" s="31" t="n"/>
      <c r="N57" s="31" t="n"/>
      <c r="O57" s="32">
        <f>IF(OR(M57="",N57=""),0,L57*M57*N57)</f>
        <v/>
      </c>
    </row>
    <row r="58" ht="15" customHeight="1" s="17">
      <c r="A58" s="28" t="n">
        <v>53</v>
      </c>
      <c r="B58" s="28" t="inlineStr">
        <is>
          <t>D. Phái sinh</t>
        </is>
      </c>
      <c r="C58" s="28" t="inlineStr">
        <is>
          <t>Basis futures</t>
        </is>
      </c>
      <c r="D58" s="28" t="inlineStr">
        <is>
          <t>Basis tăng</t>
        </is>
      </c>
      <c r="E58" s="28" t="inlineStr">
        <is>
          <t>Basis quy năm (%)</t>
        </is>
      </c>
      <c r="F58" s="28" t="inlineStr">
        <is>
          <t>Coinglass, Laevitas</t>
        </is>
      </c>
      <c r="G58" s="28" t="inlineStr">
        <is>
          <t>6</t>
        </is>
      </c>
      <c r="H58" s="28" t="inlineStr">
        <is>
          <t>8</t>
        </is>
      </c>
      <c r="I58" s="28" t="inlineStr">
        <is>
          <t>10</t>
        </is>
      </c>
      <c r="J58" s="28" t="inlineStr">
        <is>
          <t>15</t>
        </is>
      </c>
      <c r="K58" s="28" t="inlineStr">
        <is>
          <t>≥20</t>
        </is>
      </c>
      <c r="L58" s="30" t="n">
        <v>200</v>
      </c>
      <c r="M58" s="31" t="n"/>
      <c r="N58" s="31" t="n"/>
      <c r="O58" s="32">
        <f>IF(OR(M58="",N58=""),0,L58*M58*N58)</f>
        <v/>
      </c>
    </row>
    <row r="59" ht="23.85" customHeight="1" s="17">
      <c r="A59" s="28" t="n">
        <v>54</v>
      </c>
      <c r="B59" s="28" t="inlineStr">
        <is>
          <t>D. Phái sinh</t>
        </is>
      </c>
      <c r="C59" s="28" t="inlineStr">
        <is>
          <t>Vùng thanh lý tập trung</t>
        </is>
      </c>
      <c r="D59" s="28" t="inlineStr">
        <is>
          <t>Cụm thanh lý short lớn phía trên gần giá</t>
        </is>
      </c>
      <c r="E59" s="28" t="inlineStr">
        <is>
          <t>Quy mô cụm và khoảng cách</t>
        </is>
      </c>
      <c r="F59" s="28" t="inlineStr">
        <is>
          <t>Coinglass Liquidation Heatmap</t>
        </is>
      </c>
      <c r="G59" s="28" t="inlineStr">
        <is>
          <t>Cụm nhỏ, xa &gt;5%</t>
        </is>
      </c>
      <c r="H59" s="28" t="inlineStr">
        <is>
          <t>Cụm vừa, 3–5%</t>
        </is>
      </c>
      <c r="I59" s="28" t="inlineStr">
        <is>
          <t>Cụm lớn, 3–5%</t>
        </is>
      </c>
      <c r="J59" s="28" t="inlineStr">
        <is>
          <t>Cụm lớn, &lt;3%</t>
        </is>
      </c>
      <c r="K59" s="28" t="inlineStr">
        <is>
          <t>Cụm &gt;1 tỷ USD trong 2%</t>
        </is>
      </c>
      <c r="L59" s="30" t="n">
        <v>250</v>
      </c>
      <c r="M59" s="31" t="n"/>
      <c r="N59" s="31" t="n"/>
      <c r="O59" s="32">
        <f>IF(OR(M59="",N59=""),0,L59*M59*N59)</f>
        <v/>
      </c>
    </row>
    <row r="60" ht="15" customHeight="1" s="17">
      <c r="A60" s="28" t="n">
        <v>55</v>
      </c>
      <c r="B60" s="28" t="inlineStr">
        <is>
          <t>D. Phái sinh</t>
        </is>
      </c>
      <c r="C60" s="28" t="inlineStr">
        <is>
          <t>Skew quyền chọn 25-delta</t>
        </is>
      </c>
      <c r="D60" s="28" t="inlineStr">
        <is>
          <t>Call đắt hơn put</t>
        </is>
      </c>
      <c r="E60" s="28" t="inlineStr">
        <is>
          <t>Skew 25-delta (điểm vol)</t>
        </is>
      </c>
      <c r="F60" s="28" t="inlineStr">
        <is>
          <t>Deribit, Laevitas</t>
        </is>
      </c>
      <c r="G60" s="28" t="inlineStr">
        <is>
          <t>1</t>
        </is>
      </c>
      <c r="H60" s="28" t="inlineStr">
        <is>
          <t>2</t>
        </is>
      </c>
      <c r="I60" s="28" t="inlineStr">
        <is>
          <t>4</t>
        </is>
      </c>
      <c r="J60" s="28" t="inlineStr">
        <is>
          <t>6</t>
        </is>
      </c>
      <c r="K60" s="28" t="inlineStr">
        <is>
          <t>≥10</t>
        </is>
      </c>
      <c r="L60" s="30" t="n">
        <v>300</v>
      </c>
      <c r="M60" s="31" t="n"/>
      <c r="N60" s="31" t="n"/>
      <c r="O60" s="32">
        <f>IF(OR(M60="",N60=""),0,L60*M60*N60)</f>
        <v/>
      </c>
    </row>
    <row r="61" ht="23.85" customHeight="1" s="17">
      <c r="A61" s="28" t="n">
        <v>56</v>
      </c>
      <c r="B61" s="28" t="inlineStr">
        <is>
          <t>D. Phái sinh</t>
        </is>
      </c>
      <c r="C61" s="28" t="inlineStr">
        <is>
          <t>Khối lượng giao dịch spot</t>
        </is>
      </c>
      <c r="D61" s="28" t="inlineStr">
        <is>
          <t>Khối lượng tăng (hướng = chiều nến)</t>
        </is>
      </c>
      <c r="E61" s="28" t="inlineStr">
        <is>
          <t>% so trung bình 20 phiên</t>
        </is>
      </c>
      <c r="F61" s="28" t="inlineStr">
        <is>
          <t>CoinGecko, Binance</t>
        </is>
      </c>
      <c r="G61" s="28" t="inlineStr">
        <is>
          <t>+20%</t>
        </is>
      </c>
      <c r="H61" s="28" t="inlineStr">
        <is>
          <t>+50%</t>
        </is>
      </c>
      <c r="I61" s="28" t="inlineStr">
        <is>
          <t>+100%</t>
        </is>
      </c>
      <c r="J61" s="28" t="inlineStr">
        <is>
          <t>+150%</t>
        </is>
      </c>
      <c r="K61" s="28" t="inlineStr">
        <is>
          <t>≥+200%</t>
        </is>
      </c>
      <c r="L61" s="30" t="n">
        <v>-121</v>
      </c>
      <c r="M61" s="31" t="n"/>
      <c r="N61" s="31" t="n"/>
      <c r="O61" s="32">
        <f>IF(OR(M61="",N61=""),0,L61*M61*N61)</f>
        <v/>
      </c>
    </row>
    <row r="62" ht="15" customHeight="1" s="17">
      <c r="A62" s="28" t="n">
        <v>57</v>
      </c>
      <c r="B62" s="29" t="inlineStr">
        <is>
          <t>E. On-chain</t>
        </is>
      </c>
      <c r="C62" s="28" t="inlineStr">
        <is>
          <t>BTC nạp vào sàn</t>
        </is>
      </c>
      <c r="D62" s="28" t="inlineStr">
        <is>
          <t>Nạp lớn</t>
        </is>
      </c>
      <c r="E62" s="28" t="inlineStr">
        <is>
          <t>% vượt trung bình 30 ngày</t>
        </is>
      </c>
      <c r="F62" s="28" t="inlineStr">
        <is>
          <t>CryptoQuant, Glassnode</t>
        </is>
      </c>
      <c r="G62" s="28" t="inlineStr">
        <is>
          <t>+20%</t>
        </is>
      </c>
      <c r="H62" s="28" t="inlineStr">
        <is>
          <t>+50%</t>
        </is>
      </c>
      <c r="I62" s="28" t="inlineStr">
        <is>
          <t>+100%</t>
        </is>
      </c>
      <c r="J62" s="28" t="inlineStr">
        <is>
          <t>+200%</t>
        </is>
      </c>
      <c r="K62" s="28" t="inlineStr">
        <is>
          <t>≥+300%</t>
        </is>
      </c>
      <c r="L62" s="30" t="n">
        <v>-600</v>
      </c>
      <c r="M62" s="31" t="n"/>
      <c r="N62" s="31" t="n"/>
      <c r="O62" s="32">
        <f>IF(OR(M62="",N62=""),0,L62*M62*N62)</f>
        <v/>
      </c>
    </row>
    <row r="63" ht="15" customHeight="1" s="17">
      <c r="A63" s="28" t="n">
        <v>58</v>
      </c>
      <c r="B63" s="28" t="inlineStr">
        <is>
          <t>E. On-chain</t>
        </is>
      </c>
      <c r="C63" s="28" t="inlineStr">
        <is>
          <t>BTC rút khỏi sàn</t>
        </is>
      </c>
      <c r="D63" s="28" t="inlineStr">
        <is>
          <t>Rút lớn</t>
        </is>
      </c>
      <c r="E63" s="28" t="inlineStr">
        <is>
          <t>% vượt trung bình 30 ngày</t>
        </is>
      </c>
      <c r="F63" s="28" t="inlineStr">
        <is>
          <t>CryptoQuant, Glassnode</t>
        </is>
      </c>
      <c r="G63" s="28" t="inlineStr">
        <is>
          <t>+20%</t>
        </is>
      </c>
      <c r="H63" s="28" t="inlineStr">
        <is>
          <t>+50%</t>
        </is>
      </c>
      <c r="I63" s="28" t="inlineStr">
        <is>
          <t>+100%</t>
        </is>
      </c>
      <c r="J63" s="28" t="inlineStr">
        <is>
          <t>+200%</t>
        </is>
      </c>
      <c r="K63" s="28" t="inlineStr">
        <is>
          <t>≥+300%</t>
        </is>
      </c>
      <c r="L63" s="30" t="n">
        <v>350</v>
      </c>
      <c r="M63" s="31" t="n"/>
      <c r="N63" s="31" t="n"/>
      <c r="O63" s="32">
        <f>IF(OR(M63="",N63=""),0,L63*M63*N63)</f>
        <v/>
      </c>
    </row>
    <row r="64" ht="15" customHeight="1" s="17">
      <c r="A64" s="28" t="n">
        <v>59</v>
      </c>
      <c r="B64" s="28" t="inlineStr">
        <is>
          <t>E. On-chain</t>
        </is>
      </c>
      <c r="C64" s="28" t="inlineStr">
        <is>
          <t>Dự trữ BTC trên sàn</t>
        </is>
      </c>
      <c r="D64" s="28" t="inlineStr">
        <is>
          <t>Dự trữ giảm</t>
        </is>
      </c>
      <c r="E64" s="28" t="inlineStr">
        <is>
          <t>Thay đổi ngày (BTC)</t>
        </is>
      </c>
      <c r="F64" s="28" t="inlineStr">
        <is>
          <t>CryptoQuant</t>
        </is>
      </c>
      <c r="G64" s="28" t="inlineStr">
        <is>
          <t>2k</t>
        </is>
      </c>
      <c r="H64" s="28" t="inlineStr">
        <is>
          <t>5k</t>
        </is>
      </c>
      <c r="I64" s="28" t="inlineStr">
        <is>
          <t>10k</t>
        </is>
      </c>
      <c r="J64" s="28" t="inlineStr">
        <is>
          <t>20k</t>
        </is>
      </c>
      <c r="K64" s="28" t="inlineStr">
        <is>
          <t>≥30k</t>
        </is>
      </c>
      <c r="L64" s="30" t="n">
        <v>250</v>
      </c>
      <c r="M64" s="31" t="n"/>
      <c r="N64" s="31" t="n"/>
      <c r="O64" s="32">
        <f>IF(OR(M64="",N64=""),0,L64*M64*N64)</f>
        <v/>
      </c>
    </row>
    <row r="65" ht="15" customHeight="1" s="17">
      <c r="A65" s="28" t="n">
        <v>60</v>
      </c>
      <c r="B65" s="28" t="inlineStr">
        <is>
          <t>E. On-chain</t>
        </is>
      </c>
      <c r="C65" s="28" t="inlineStr">
        <is>
          <t>Cá voi chuyển trên 1.000 BTC</t>
        </is>
      </c>
      <c r="D65" s="28" t="inlineStr">
        <is>
          <t>Cá voi chuyển lên sàn</t>
        </is>
      </c>
      <c r="E65" s="28" t="inlineStr">
        <is>
          <t>Khối lượng chuyển (BTC)</t>
        </is>
      </c>
      <c r="F65" s="28" t="inlineStr">
        <is>
          <t>Whale Alert, Arkham</t>
        </is>
      </c>
      <c r="G65" s="28" t="inlineStr">
        <is>
          <t>1k</t>
        </is>
      </c>
      <c r="H65" s="28" t="inlineStr">
        <is>
          <t>3k</t>
        </is>
      </c>
      <c r="I65" s="28" t="inlineStr">
        <is>
          <t>5k</t>
        </is>
      </c>
      <c r="J65" s="28" t="inlineStr">
        <is>
          <t>10k</t>
        </is>
      </c>
      <c r="K65" s="28" t="inlineStr">
        <is>
          <t>≥20k</t>
        </is>
      </c>
      <c r="L65" s="30" t="n">
        <v>-550</v>
      </c>
      <c r="M65" s="31" t="n"/>
      <c r="N65" s="31" t="n"/>
      <c r="O65" s="32">
        <f>IF(OR(M65="",N65=""),0,L65*M65*N65)</f>
        <v/>
      </c>
    </row>
    <row r="66" ht="15" customHeight="1" s="17">
      <c r="A66" s="28" t="n">
        <v>61</v>
      </c>
      <c r="B66" s="28" t="inlineStr">
        <is>
          <t>E. On-chain</t>
        </is>
      </c>
      <c r="C66" s="28" t="inlineStr">
        <is>
          <t>Thợ đào chuyển BTC lên sàn</t>
        </is>
      </c>
      <c r="D66" s="28" t="inlineStr">
        <is>
          <t>Chuyển lên sàn</t>
        </is>
      </c>
      <c r="E66" s="28" t="inlineStr">
        <is>
          <t>Khối lượng ngày (BTC)</t>
        </is>
      </c>
      <c r="F66" s="28" t="inlineStr">
        <is>
          <t>CryptoQuant</t>
        </is>
      </c>
      <c r="G66" s="28" t="inlineStr">
        <is>
          <t>100</t>
        </is>
      </c>
      <c r="H66" s="28" t="inlineStr">
        <is>
          <t>300</t>
        </is>
      </c>
      <c r="I66" s="28" t="inlineStr">
        <is>
          <t>600</t>
        </is>
      </c>
      <c r="J66" s="28" t="inlineStr">
        <is>
          <t>1000</t>
        </is>
      </c>
      <c r="K66" s="28" t="inlineStr">
        <is>
          <t>≥2000</t>
        </is>
      </c>
      <c r="L66" s="30" t="n">
        <v>-300</v>
      </c>
      <c r="M66" s="31" t="n"/>
      <c r="N66" s="31" t="n"/>
      <c r="O66" s="32">
        <f>IF(OR(M66="",N66=""),0,L66*M66*N66)</f>
        <v/>
      </c>
    </row>
    <row r="67" ht="23.85" customHeight="1" s="17">
      <c r="A67" s="28" t="n">
        <v>62</v>
      </c>
      <c r="B67" s="28" t="inlineStr">
        <is>
          <t>E. On-chain</t>
        </is>
      </c>
      <c r="C67" s="28" t="inlineStr">
        <is>
          <t>Hashrate</t>
        </is>
      </c>
      <c r="D67" s="28" t="inlineStr">
        <is>
          <t>Tăng</t>
        </is>
      </c>
      <c r="E67" s="28" t="inlineStr">
        <is>
          <t>Thay đổi 7 ngày (%)</t>
        </is>
      </c>
      <c r="F67" s="28" t="inlineStr">
        <is>
          <t>mempool.space, Blockchain.com</t>
        </is>
      </c>
      <c r="G67" s="28" t="inlineStr">
        <is>
          <t>2</t>
        </is>
      </c>
      <c r="H67" s="28" t="inlineStr">
        <is>
          <t>4</t>
        </is>
      </c>
      <c r="I67" s="28" t="inlineStr">
        <is>
          <t>7</t>
        </is>
      </c>
      <c r="J67" s="28" t="inlineStr">
        <is>
          <t>10</t>
        </is>
      </c>
      <c r="K67" s="28" t="inlineStr">
        <is>
          <t>≥15</t>
        </is>
      </c>
      <c r="L67" s="30" t="n">
        <v>103</v>
      </c>
      <c r="M67" s="31" t="n"/>
      <c r="N67" s="31" t="n"/>
      <c r="O67" s="32">
        <f>IF(OR(M67="",N67=""),0,L67*M67*N67)</f>
        <v/>
      </c>
    </row>
    <row r="68" ht="15" customHeight="1" s="17">
      <c r="A68" s="28" t="n">
        <v>63</v>
      </c>
      <c r="B68" s="28" t="inlineStr">
        <is>
          <t>E. On-chain</t>
        </is>
      </c>
      <c r="C68" s="28" t="inlineStr">
        <is>
          <t>Điều chỉnh độ khó khai thác</t>
        </is>
      </c>
      <c r="D68" s="28" t="inlineStr">
        <is>
          <t>Tăng</t>
        </is>
      </c>
      <c r="E68" s="28" t="inlineStr">
        <is>
          <t>Mức điều chỉnh (%)</t>
        </is>
      </c>
      <c r="F68" s="28" t="inlineStr">
        <is>
          <t>mempool.space</t>
        </is>
      </c>
      <c r="G68" s="28" t="inlineStr">
        <is>
          <t>1</t>
        </is>
      </c>
      <c r="H68" s="28" t="inlineStr">
        <is>
          <t>2</t>
        </is>
      </c>
      <c r="I68" s="28" t="inlineStr">
        <is>
          <t>4</t>
        </is>
      </c>
      <c r="J68" s="28" t="inlineStr">
        <is>
          <t>6</t>
        </is>
      </c>
      <c r="K68" s="28" t="inlineStr">
        <is>
          <t>≥10</t>
        </is>
      </c>
      <c r="L68" s="30" t="n">
        <v>-134</v>
      </c>
      <c r="M68" s="31" t="n"/>
      <c r="N68" s="31" t="n"/>
      <c r="O68" s="32">
        <f>IF(OR(M68="",N68=""),0,L68*M68*N68)</f>
        <v/>
      </c>
    </row>
    <row r="69" ht="23.85" customHeight="1" s="17">
      <c r="A69" s="28" t="n">
        <v>64</v>
      </c>
      <c r="B69" s="28" t="inlineStr">
        <is>
          <t>E. On-chain</t>
        </is>
      </c>
      <c r="C69" s="28" t="inlineStr">
        <is>
          <t>Hash ribbons</t>
        </is>
      </c>
      <c r="D69" s="28" t="inlineStr">
        <is>
          <t>Tín hiệu mua (hồi phục sau đầu hàng)</t>
        </is>
      </c>
      <c r="E69" s="28" t="inlineStr">
        <is>
          <t>Trạng thái MA30/MA60 hashrate</t>
        </is>
      </c>
      <c r="F69" s="28" t="inlineStr">
        <is>
          <t>Glassnode, TradingView</t>
        </is>
      </c>
      <c r="G69" s="28" t="inlineStr">
        <is>
          <t>MA30 sắp cắt lên</t>
        </is>
      </c>
      <c r="H69" s="28" t="inlineStr">
        <is>
          <t>Vừa cắt lên</t>
        </is>
      </c>
      <c r="I69" s="28" t="inlineStr">
        <is>
          <t>Cắt lên + hashrate hồi</t>
        </is>
      </c>
      <c r="J69" s="28" t="inlineStr">
        <is>
          <t>Cắt lên + giá xác nhận</t>
        </is>
      </c>
      <c r="K69" s="28" t="inlineStr">
        <is>
          <t>Tín hiệu mua đầy đủ sau đợt đầu hàng sâu</t>
        </is>
      </c>
      <c r="L69" s="30" t="n">
        <v>412</v>
      </c>
      <c r="M69" s="31" t="n"/>
      <c r="N69" s="31" t="n"/>
      <c r="O69" s="32">
        <f>IF(OR(M69="",N69=""),0,L69*M69*N69)</f>
        <v/>
      </c>
    </row>
    <row r="70" ht="15" customHeight="1" s="17">
      <c r="A70" s="28" t="n">
        <v>65</v>
      </c>
      <c r="B70" s="28" t="inlineStr">
        <is>
          <t>E. On-chain</t>
        </is>
      </c>
      <c r="C70" s="28" t="inlineStr">
        <is>
          <t>MVRV</t>
        </is>
      </c>
      <c r="D70" s="28" t="inlineStr">
        <is>
          <t>MVRV cao (quá mua)</t>
        </is>
      </c>
      <c r="E70" s="28" t="inlineStr">
        <is>
          <t>MVRV Z-score</t>
        </is>
      </c>
      <c r="F70" s="28" t="inlineStr">
        <is>
          <t>Glassnode, LookIntoBitcoin</t>
        </is>
      </c>
      <c r="G70" s="28" t="inlineStr">
        <is>
          <t>2</t>
        </is>
      </c>
      <c r="H70" s="28" t="inlineStr">
        <is>
          <t>3</t>
        </is>
      </c>
      <c r="I70" s="28" t="inlineStr">
        <is>
          <t>4</t>
        </is>
      </c>
      <c r="J70" s="28" t="inlineStr">
        <is>
          <t>5</t>
        </is>
      </c>
      <c r="K70" s="28" t="inlineStr">
        <is>
          <t>≥7</t>
        </is>
      </c>
      <c r="L70" s="30" t="n">
        <v>-426</v>
      </c>
      <c r="M70" s="31" t="n"/>
      <c r="N70" s="31" t="n"/>
      <c r="O70" s="32">
        <f>IF(OR(M70="",N70=""),0,L70*M70*N70)</f>
        <v/>
      </c>
    </row>
    <row r="71" ht="15" customHeight="1" s="17">
      <c r="A71" s="28" t="n">
        <v>66</v>
      </c>
      <c r="B71" s="28" t="inlineStr">
        <is>
          <t>E. On-chain</t>
        </is>
      </c>
      <c r="C71" s="28" t="inlineStr">
        <is>
          <t>SOPR</t>
        </is>
      </c>
      <c r="D71" s="28" t="inlineStr">
        <is>
          <t>SOPR &lt; 1 (bán lỗ, đầu hàng)</t>
        </is>
      </c>
      <c r="E71" s="28" t="inlineStr">
        <is>
          <t>Giá trị SOPR</t>
        </is>
      </c>
      <c r="F71" s="28" t="inlineStr">
        <is>
          <t>Glassnode, CryptoQuant</t>
        </is>
      </c>
      <c r="G71" s="28" t="inlineStr">
        <is>
          <t>0.99</t>
        </is>
      </c>
      <c r="H71" s="28" t="inlineStr">
        <is>
          <t>0.98</t>
        </is>
      </c>
      <c r="I71" s="28" t="inlineStr">
        <is>
          <t>0.97</t>
        </is>
      </c>
      <c r="J71" s="28" t="inlineStr">
        <is>
          <t>0.95</t>
        </is>
      </c>
      <c r="K71" s="28" t="inlineStr">
        <is>
          <t>≤0.93</t>
        </is>
      </c>
      <c r="L71" s="30" t="n">
        <v>-51</v>
      </c>
      <c r="M71" s="31" t="n"/>
      <c r="N71" s="31" t="n"/>
      <c r="O71" s="32">
        <f>IF(OR(M71="",N71=""),0,L71*M71*N71)</f>
        <v/>
      </c>
    </row>
    <row r="72" ht="15" customHeight="1" s="17">
      <c r="A72" s="28" t="n">
        <v>67</v>
      </c>
      <c r="B72" s="28" t="inlineStr">
        <is>
          <t>E. On-chain</t>
        </is>
      </c>
      <c r="C72" s="28" t="inlineStr">
        <is>
          <t>NUPL</t>
        </is>
      </c>
      <c r="D72" s="28" t="inlineStr">
        <is>
          <t>NUPL cao (hưng phấn)</t>
        </is>
      </c>
      <c r="E72" s="28" t="inlineStr">
        <is>
          <t>Giá trị NUPL</t>
        </is>
      </c>
      <c r="F72" s="28" t="inlineStr">
        <is>
          <t>Glassnode</t>
        </is>
      </c>
      <c r="G72" s="28" t="inlineStr">
        <is>
          <t>0.5</t>
        </is>
      </c>
      <c r="H72" s="28" t="inlineStr">
        <is>
          <t>0.55</t>
        </is>
      </c>
      <c r="I72" s="28" t="inlineStr">
        <is>
          <t>0.6</t>
        </is>
      </c>
      <c r="J72" s="28" t="inlineStr">
        <is>
          <t>0.7</t>
        </is>
      </c>
      <c r="K72" s="28" t="inlineStr">
        <is>
          <t>≥0.75</t>
        </is>
      </c>
      <c r="L72" s="30" t="n">
        <v>-605</v>
      </c>
      <c r="M72" s="31" t="n"/>
      <c r="N72" s="31" t="n"/>
      <c r="O72" s="32">
        <f>IF(OR(M72="",N72=""),0,L72*M72*N72)</f>
        <v/>
      </c>
    </row>
    <row r="73" ht="23.85" customHeight="1" s="17">
      <c r="A73" s="28" t="n">
        <v>68</v>
      </c>
      <c r="B73" s="28" t="inlineStr">
        <is>
          <t>E. On-chain</t>
        </is>
      </c>
      <c r="C73" s="28" t="inlineStr">
        <is>
          <t>Holder dài hạn (LTH) bán ra</t>
        </is>
      </c>
      <c r="D73" s="28" t="inlineStr">
        <is>
          <t>LTH bán</t>
        </is>
      </c>
      <c r="E73" s="28" t="inlineStr">
        <is>
          <t>Lượng giảm nắm giữ LTH/ngày (BTC)</t>
        </is>
      </c>
      <c r="F73" s="28" t="inlineStr">
        <is>
          <t>Glassnode</t>
        </is>
      </c>
      <c r="G73" s="28" t="inlineStr">
        <is>
          <t>5k</t>
        </is>
      </c>
      <c r="H73" s="28" t="inlineStr">
        <is>
          <t>10k</t>
        </is>
      </c>
      <c r="I73" s="28" t="inlineStr">
        <is>
          <t>20k</t>
        </is>
      </c>
      <c r="J73" s="28" t="inlineStr">
        <is>
          <t>40k</t>
        </is>
      </c>
      <c r="K73" s="28" t="inlineStr">
        <is>
          <t>≥60k</t>
        </is>
      </c>
      <c r="L73" s="30" t="n">
        <v>-450</v>
      </c>
      <c r="M73" s="31" t="n"/>
      <c r="N73" s="31" t="n"/>
      <c r="O73" s="32">
        <f>IF(OR(M73="",N73=""),0,L73*M73*N73)</f>
        <v/>
      </c>
    </row>
    <row r="74" ht="15" customHeight="1" s="17">
      <c r="A74" s="28" t="n">
        <v>69</v>
      </c>
      <c r="B74" s="28" t="inlineStr">
        <is>
          <t>E. On-chain</t>
        </is>
      </c>
      <c r="C74" s="28" t="inlineStr">
        <is>
          <t>Ví ngủ đông lâu năm hoạt động lại</t>
        </is>
      </c>
      <c r="D74" s="28" t="inlineStr">
        <is>
          <t>Coin &gt;5 năm di chuyển</t>
        </is>
      </c>
      <c r="E74" s="28" t="inlineStr">
        <is>
          <t>Khối lượng (BTC)</t>
        </is>
      </c>
      <c r="F74" s="28" t="inlineStr">
        <is>
          <t>Glassnode, Whale Alert</t>
        </is>
      </c>
      <c r="G74" s="28" t="inlineStr">
        <is>
          <t>500</t>
        </is>
      </c>
      <c r="H74" s="28" t="inlineStr">
        <is>
          <t>1k</t>
        </is>
      </c>
      <c r="I74" s="28" t="inlineStr">
        <is>
          <t>5k</t>
        </is>
      </c>
      <c r="J74" s="28" t="inlineStr">
        <is>
          <t>10k</t>
        </is>
      </c>
      <c r="K74" s="28" t="inlineStr">
        <is>
          <t>≥20k</t>
        </is>
      </c>
      <c r="L74" s="30" t="n">
        <v>-400</v>
      </c>
      <c r="M74" s="31" t="n"/>
      <c r="N74" s="31" t="n"/>
      <c r="O74" s="32">
        <f>IF(OR(M74="",N74=""),0,L74*M74*N74)</f>
        <v/>
      </c>
    </row>
    <row r="75" ht="15" customHeight="1" s="17">
      <c r="A75" s="28" t="n">
        <v>70</v>
      </c>
      <c r="B75" s="28" t="inlineStr">
        <is>
          <t>E. On-chain</t>
        </is>
      </c>
      <c r="C75" s="28" t="inlineStr">
        <is>
          <t>Số địa chỉ hoạt động</t>
        </is>
      </c>
      <c r="D75" s="28" t="inlineStr">
        <is>
          <t>Tăng</t>
        </is>
      </c>
      <c r="E75" s="28" t="inlineStr">
        <is>
          <t>% so trung bình 30 ngày</t>
        </is>
      </c>
      <c r="F75" s="28" t="inlineStr">
        <is>
          <t>Glassnode, Blockchain.com</t>
        </is>
      </c>
      <c r="G75" s="28" t="inlineStr">
        <is>
          <t>5</t>
        </is>
      </c>
      <c r="H75" s="28" t="inlineStr">
        <is>
          <t>10</t>
        </is>
      </c>
      <c r="I75" s="28" t="inlineStr">
        <is>
          <t>20</t>
        </is>
      </c>
      <c r="J75" s="28" t="inlineStr">
        <is>
          <t>30</t>
        </is>
      </c>
      <c r="K75" s="28" t="inlineStr">
        <is>
          <t>≥50</t>
        </is>
      </c>
      <c r="L75" s="30" t="n">
        <v>-33</v>
      </c>
      <c r="M75" s="31" t="n"/>
      <c r="N75" s="31" t="n"/>
      <c r="O75" s="32">
        <f>IF(OR(M75="",N75=""),0,L75*M75*N75)</f>
        <v/>
      </c>
    </row>
    <row r="76" ht="15" customHeight="1" s="17">
      <c r="A76" s="28" t="n">
        <v>71</v>
      </c>
      <c r="B76" s="28" t="inlineStr">
        <is>
          <t>E. On-chain</t>
        </is>
      </c>
      <c r="C76" s="28" t="inlineStr">
        <is>
          <t>Phí giao dịch / mempool</t>
        </is>
      </c>
      <c r="D76" s="28" t="inlineStr">
        <is>
          <t>Phí tăng</t>
        </is>
      </c>
      <c r="E76" s="28" t="inlineStr">
        <is>
          <t>% so trung bình 30 ngày</t>
        </is>
      </c>
      <c r="F76" s="28" t="inlineStr">
        <is>
          <t>mempool.space</t>
        </is>
      </c>
      <c r="G76" s="28" t="inlineStr">
        <is>
          <t>20</t>
        </is>
      </c>
      <c r="H76" s="28" t="inlineStr">
        <is>
          <t>50</t>
        </is>
      </c>
      <c r="I76" s="28" t="inlineStr">
        <is>
          <t>100</t>
        </is>
      </c>
      <c r="J76" s="28" t="inlineStr">
        <is>
          <t>200</t>
        </is>
      </c>
      <c r="K76" s="28" t="inlineStr">
        <is>
          <t>≥300</t>
        </is>
      </c>
      <c r="L76" s="30" t="n">
        <v>-570</v>
      </c>
      <c r="M76" s="31" t="n"/>
      <c r="N76" s="31" t="n"/>
      <c r="O76" s="32">
        <f>IF(OR(M76="",N76=""),0,L76*M76*N76)</f>
        <v/>
      </c>
    </row>
    <row r="77" ht="23.85" customHeight="1" s="17">
      <c r="A77" s="28" t="n">
        <v>72</v>
      </c>
      <c r="B77" s="28" t="inlineStr">
        <is>
          <t>E. On-chain</t>
        </is>
      </c>
      <c r="C77" s="28" t="inlineStr">
        <is>
          <t>Ví chính phủ chuyển BTC</t>
        </is>
      </c>
      <c r="D77" s="28" t="inlineStr">
        <is>
          <t>Chuyển (khả năng bán)</t>
        </is>
      </c>
      <c r="E77" s="28" t="inlineStr">
        <is>
          <t>Khối lượng (BTC); vào sàn → tăng 1 bậc</t>
        </is>
      </c>
      <c r="F77" s="28" t="inlineStr">
        <is>
          <t>Arkham</t>
        </is>
      </c>
      <c r="G77" s="28" t="inlineStr">
        <is>
          <t>500</t>
        </is>
      </c>
      <c r="H77" s="28" t="inlineStr">
        <is>
          <t>2k</t>
        </is>
      </c>
      <c r="I77" s="28" t="inlineStr">
        <is>
          <t>5k</t>
        </is>
      </c>
      <c r="J77" s="28" t="inlineStr">
        <is>
          <t>10k</t>
        </is>
      </c>
      <c r="K77" s="28" t="inlineStr">
        <is>
          <t>≥20k</t>
        </is>
      </c>
      <c r="L77" s="30" t="n">
        <v>-600</v>
      </c>
      <c r="M77" s="31" t="n"/>
      <c r="N77" s="31" t="n"/>
      <c r="O77" s="32">
        <f>IF(OR(M77="",N77=""),0,L77*M77*N77)</f>
        <v/>
      </c>
    </row>
    <row r="78" ht="23.85" customHeight="1" s="17">
      <c r="A78" s="28" t="n">
        <v>73</v>
      </c>
      <c r="B78" s="29" t="inlineStr">
        <is>
          <t>F. Pháp lý &amp; chính trị</t>
        </is>
      </c>
      <c r="C78" s="28" t="inlineStr">
        <is>
          <t>Quyết định / vụ kiện của SEC</t>
        </is>
      </c>
      <c r="D78" s="28" t="inlineStr">
        <is>
          <t>Động thái có lợi cho crypto</t>
        </is>
      </c>
      <c r="E78" s="28" t="inlineStr">
        <is>
          <t>Mức độ tác động</t>
        </is>
      </c>
      <c r="F78" s="28" t="inlineStr">
        <is>
          <t>sec.gov, Reuters</t>
        </is>
      </c>
      <c r="G78" s="28" t="inlineStr">
        <is>
          <t>Phát biểu</t>
        </is>
      </c>
      <c r="H78" s="28" t="inlineStr">
        <is>
          <t>Hướng dẫn mới</t>
        </is>
      </c>
      <c r="I78" s="28" t="inlineStr">
        <is>
          <t>Rút vụ kiện nhỏ</t>
        </is>
      </c>
      <c r="J78" s="28" t="inlineStr">
        <is>
          <t>Phê duyệt sản phẩm lớn</t>
        </is>
      </c>
      <c r="K78" s="28" t="inlineStr">
        <is>
          <t>Thay đổi khung pháp lý lớn</t>
        </is>
      </c>
      <c r="L78" s="30" t="n">
        <v>550</v>
      </c>
      <c r="M78" s="31" t="n"/>
      <c r="N78" s="31" t="n"/>
      <c r="O78" s="32">
        <f>IF(OR(M78="",N78=""),0,L78*M78*N78)</f>
        <v/>
      </c>
    </row>
    <row r="79" ht="15" customHeight="1" s="17">
      <c r="A79" s="28" t="n">
        <v>74</v>
      </c>
      <c r="B79" s="28" t="inlineStr">
        <is>
          <t>F. Pháp lý &amp; chính trị</t>
        </is>
      </c>
      <c r="C79" s="28" t="inlineStr">
        <is>
          <t>Luật crypto Mỹ</t>
        </is>
      </c>
      <c r="D79" s="28" t="inlineStr">
        <is>
          <t>Luật có lợi tiến triển</t>
        </is>
      </c>
      <c r="E79" s="28" t="inlineStr">
        <is>
          <t>Giai đoạn lập pháp</t>
        </is>
      </c>
      <c r="F79" s="28" t="inlineStr">
        <is>
          <t>congress.gov</t>
        </is>
      </c>
      <c r="G79" s="28" t="inlineStr">
        <is>
          <t>Đề xuất</t>
        </is>
      </c>
      <c r="H79" s="28" t="inlineStr">
        <is>
          <t>Qua ủy ban</t>
        </is>
      </c>
      <c r="I79" s="28" t="inlineStr">
        <is>
          <t>Qua 1 viện</t>
        </is>
      </c>
      <c r="J79" s="28" t="inlineStr">
        <is>
          <t>Qua 2 viện</t>
        </is>
      </c>
      <c r="K79" s="28" t="inlineStr">
        <is>
          <t>Ký thành luật</t>
        </is>
      </c>
      <c r="L79" s="30" t="n">
        <v>600</v>
      </c>
      <c r="M79" s="31" t="n"/>
      <c r="N79" s="31" t="n"/>
      <c r="O79" s="32">
        <f>IF(OR(M79="",N79=""),0,L79*M79*N79)</f>
        <v/>
      </c>
    </row>
    <row r="80" ht="23.85" customHeight="1" s="17">
      <c r="A80" s="28" t="n">
        <v>75</v>
      </c>
      <c r="B80" s="28" t="inlineStr">
        <is>
          <t>F. Pháp lý &amp; chính trị</t>
        </is>
      </c>
      <c r="C80" s="28" t="inlineStr">
        <is>
          <t>Dự trữ BTC chiến lược quốc gia</t>
        </is>
      </c>
      <c r="D80" s="28" t="inlineStr">
        <is>
          <t>Có tiến triển</t>
        </is>
      </c>
      <c r="E80" s="28" t="inlineStr">
        <is>
          <t>Cấp độ</t>
        </is>
      </c>
      <c r="F80" s="28" t="inlineStr">
        <is>
          <t>Reuters, whitehouse.gov</t>
        </is>
      </c>
      <c r="G80" s="28" t="inlineStr">
        <is>
          <t>Đề xuất cấp bang</t>
        </is>
      </c>
      <c r="H80" s="28" t="inlineStr">
        <is>
          <t>Bang thông qua</t>
        </is>
      </c>
      <c r="I80" s="28" t="inlineStr">
        <is>
          <t>Quốc gia nhỏ thực hiện</t>
        </is>
      </c>
      <c r="J80" s="28" t="inlineStr">
        <is>
          <t>Liên bang Mỹ hành động</t>
        </is>
      </c>
      <c r="K80" s="28" t="inlineStr">
        <is>
          <t>Cường quốc mua BTC trên thị trường</t>
        </is>
      </c>
      <c r="L80" s="30" t="n">
        <v>750</v>
      </c>
      <c r="M80" s="31" t="n"/>
      <c r="N80" s="31" t="n"/>
      <c r="O80" s="32">
        <f>IF(OR(M80="",N80=""),0,L80*M80*N80)</f>
        <v/>
      </c>
    </row>
    <row r="81" ht="23.85" customHeight="1" s="17">
      <c r="A81" s="28" t="n">
        <v>76</v>
      </c>
      <c r="B81" s="28" t="inlineStr">
        <is>
          <t>F. Pháp lý &amp; chính trị</t>
        </is>
      </c>
      <c r="C81" s="28" t="inlineStr">
        <is>
          <t>Phát ngôn Tổng thống Mỹ về crypto</t>
        </is>
      </c>
      <c r="D81" s="28" t="inlineStr">
        <is>
          <t>Ủng hộ crypto</t>
        </is>
      </c>
      <c r="E81" s="28" t="inlineStr">
        <is>
          <t>Mức cam kết</t>
        </is>
      </c>
      <c r="F81" s="28" t="inlineStr">
        <is>
          <t>whitehouse.gov, Truth Social, X</t>
        </is>
      </c>
      <c r="G81" s="28" t="inlineStr">
        <is>
          <t>Nhắc tới</t>
        </is>
      </c>
      <c r="H81" s="28" t="inlineStr">
        <is>
          <t>Ủng hộ chung</t>
        </is>
      </c>
      <c r="I81" s="28" t="inlineStr">
        <is>
          <t>Cam kết cụ thể</t>
        </is>
      </c>
      <c r="J81" s="28" t="inlineStr">
        <is>
          <t>Ký sắc lệnh</t>
        </is>
      </c>
      <c r="K81" s="28" t="inlineStr">
        <is>
          <t>Sắc lệnh lớn trực tiếp về BTC</t>
        </is>
      </c>
      <c r="L81" s="30" t="n">
        <v>450</v>
      </c>
      <c r="M81" s="31" t="n"/>
      <c r="N81" s="31" t="n"/>
      <c r="O81" s="32">
        <f>IF(OR(M81="",N81=""),0,L81*M81*N81)</f>
        <v/>
      </c>
    </row>
    <row r="82" ht="23.85" customHeight="1" s="17">
      <c r="A82" s="28" t="n">
        <v>77</v>
      </c>
      <c r="B82" s="28" t="inlineStr">
        <is>
          <t>F. Pháp lý &amp; chính trị</t>
        </is>
      </c>
      <c r="C82" s="28" t="inlineStr">
        <is>
          <t>Thuế quan / chiến tranh thương mại</t>
        </is>
      </c>
      <c r="D82" s="28" t="inlineStr">
        <is>
          <t>Leo thang</t>
        </is>
      </c>
      <c r="E82" s="28" t="inlineStr">
        <is>
          <t>Mức độ</t>
        </is>
      </c>
      <c r="F82" s="28" t="inlineStr">
        <is>
          <t>Reuters, USTR</t>
        </is>
      </c>
      <c r="G82" s="28" t="inlineStr">
        <is>
          <t>Đe dọa</t>
        </is>
      </c>
      <c r="H82" s="28" t="inlineStr">
        <is>
          <t>Công bố nhỏ</t>
        </is>
      </c>
      <c r="I82" s="28" t="inlineStr">
        <is>
          <t>Thuế ≥10% với đối tác lớn</t>
        </is>
      </c>
      <c r="J82" s="28" t="inlineStr">
        <is>
          <t>Trả đũa qua lại</t>
        </is>
      </c>
      <c r="K82" s="28" t="inlineStr">
        <is>
          <t>Thuế diện rộng bất ngờ</t>
        </is>
      </c>
      <c r="L82" s="30" t="n">
        <v>-750</v>
      </c>
      <c r="M82" s="31" t="n"/>
      <c r="N82" s="31" t="n"/>
      <c r="O82" s="32">
        <f>IF(OR(M82="",N82=""),0,L82*M82*N82)</f>
        <v/>
      </c>
    </row>
    <row r="83" ht="23.85" customHeight="1" s="17">
      <c r="A83" s="28" t="n">
        <v>78</v>
      </c>
      <c r="B83" s="28" t="inlineStr">
        <is>
          <t>F. Pháp lý &amp; chính trị</t>
        </is>
      </c>
      <c r="C83" s="28" t="inlineStr">
        <is>
          <t>Trung Quốc cấm / siết crypto</t>
        </is>
      </c>
      <c r="D83" s="28" t="inlineStr">
        <is>
          <t>Siết chặt</t>
        </is>
      </c>
      <c r="E83" s="28" t="inlineStr">
        <is>
          <t>Mức độ</t>
        </is>
      </c>
      <c r="F83" s="28" t="inlineStr">
        <is>
          <t>Reuters, SCMP</t>
        </is>
      </c>
      <c r="G83" s="28" t="inlineStr">
        <is>
          <t>Phát biểu cảnh báo</t>
        </is>
      </c>
      <c r="H83" s="28" t="inlineStr">
        <is>
          <t>Hướng dẫn địa phương</t>
        </is>
      </c>
      <c r="I83" s="28" t="inlineStr">
        <is>
          <t>Quy định mới</t>
        </is>
      </c>
      <c r="J83" s="28" t="inlineStr">
        <is>
          <t>Cấm diện rộng</t>
        </is>
      </c>
      <c r="K83" s="28" t="inlineStr">
        <is>
          <t>Cấm toàn diện / truy quét</t>
        </is>
      </c>
      <c r="L83" s="30" t="n">
        <v>-500</v>
      </c>
      <c r="M83" s="31" t="n"/>
      <c r="N83" s="31" t="n"/>
      <c r="O83" s="32">
        <f>IF(OR(M83="",N83=""),0,L83*M83*N83)</f>
        <v/>
      </c>
    </row>
    <row r="84" ht="23.85" customHeight="1" s="17">
      <c r="A84" s="28" t="n">
        <v>79</v>
      </c>
      <c r="B84" s="28" t="inlineStr">
        <is>
          <t>F. Pháp lý &amp; chính trị</t>
        </is>
      </c>
      <c r="C84" s="28" t="inlineStr">
        <is>
          <t>Quy định MiCA châu Âu</t>
        </is>
      </c>
      <c r="D84" s="28" t="inlineStr">
        <is>
          <t>Có lợi cho crypto</t>
        </is>
      </c>
      <c r="E84" s="28" t="inlineStr">
        <is>
          <t>Mức độ</t>
        </is>
      </c>
      <c r="F84" s="28" t="inlineStr">
        <is>
          <t>ESMA, EU Official Journal</t>
        </is>
      </c>
      <c r="G84" s="28" t="inlineStr">
        <is>
          <t>Tham vấn</t>
        </is>
      </c>
      <c r="H84" s="28" t="inlineStr">
        <is>
          <t>Dự thảo</t>
        </is>
      </c>
      <c r="I84" s="28" t="inlineStr">
        <is>
          <t>Hướng dẫn chính thức</t>
        </is>
      </c>
      <c r="J84" s="28" t="inlineStr">
        <is>
          <t>Cấp phép sàn/sản phẩm lớn</t>
        </is>
      </c>
      <c r="K84" s="28" t="inlineStr">
        <is>
          <t>Thay đổi lớn có lợi</t>
        </is>
      </c>
      <c r="L84" s="30" t="n">
        <v>150</v>
      </c>
      <c r="M84" s="31" t="n"/>
      <c r="N84" s="31" t="n"/>
      <c r="O84" s="32">
        <f>IF(OR(M84="",N84=""),0,L84*M84*N84)</f>
        <v/>
      </c>
    </row>
    <row r="85" ht="23.85" customHeight="1" s="17">
      <c r="A85" s="28" t="n">
        <v>80</v>
      </c>
      <c r="B85" s="28" t="inlineStr">
        <is>
          <t>F. Pháp lý &amp; chính trị</t>
        </is>
      </c>
      <c r="C85" s="28" t="inlineStr">
        <is>
          <t>Quốc gia hợp pháp hóa BTC</t>
        </is>
      </c>
      <c r="D85" s="28" t="inlineStr">
        <is>
          <t>Hợp pháp hóa</t>
        </is>
      </c>
      <c r="E85" s="28" t="inlineStr">
        <is>
          <t>Quy mô quốc gia</t>
        </is>
      </c>
      <c r="F85" s="28" t="inlineStr">
        <is>
          <t>Reuters</t>
        </is>
      </c>
      <c r="G85" s="28" t="inlineStr">
        <is>
          <t>Nước nhỏ đề xuất</t>
        </is>
      </c>
      <c r="H85" s="28" t="inlineStr">
        <is>
          <t>Nước nhỏ thông qua</t>
        </is>
      </c>
      <c r="I85" s="28" t="inlineStr">
        <is>
          <t>Nước vừa</t>
        </is>
      </c>
      <c r="J85" s="28" t="inlineStr">
        <is>
          <t>Nền kinh tế lớn đề xuất</t>
        </is>
      </c>
      <c r="K85" s="28" t="inlineStr">
        <is>
          <t>Nền kinh tế G20 thông qua</t>
        </is>
      </c>
      <c r="L85" s="30" t="n">
        <v>300</v>
      </c>
      <c r="M85" s="31" t="n"/>
      <c r="N85" s="31" t="n"/>
      <c r="O85" s="32">
        <f>IF(OR(M85="",N85=""),0,L85*M85*N85)</f>
        <v/>
      </c>
    </row>
    <row r="86" ht="23.85" customHeight="1" s="17">
      <c r="A86" s="28" t="n">
        <v>81</v>
      </c>
      <c r="B86" s="28" t="inlineStr">
        <is>
          <t>F. Pháp lý &amp; chính trị</t>
        </is>
      </c>
      <c r="C86" s="28" t="inlineStr">
        <is>
          <t>Bầu cử / sự kiện chính trị lớn</t>
        </is>
      </c>
      <c r="D86" s="28" t="inlineStr">
        <is>
          <t>Kết quả nghiêng về phía ủng hộ crypto</t>
        </is>
      </c>
      <c r="E86" s="28" t="inlineStr">
        <is>
          <t>Thay đổi xác suất (điểm %) trên Polymarket</t>
        </is>
      </c>
      <c r="F86" s="28" t="inlineStr">
        <is>
          <t>Polymarket, Reuters</t>
        </is>
      </c>
      <c r="G86" s="28" t="inlineStr">
        <is>
          <t>5</t>
        </is>
      </c>
      <c r="H86" s="28" t="inlineStr">
        <is>
          <t>10</t>
        </is>
      </c>
      <c r="I86" s="28" t="inlineStr">
        <is>
          <t>20</t>
        </is>
      </c>
      <c r="J86" s="28" t="inlineStr">
        <is>
          <t>30</t>
        </is>
      </c>
      <c r="K86" s="28" t="inlineStr">
        <is>
          <t>Kết quả chính thức</t>
        </is>
      </c>
      <c r="L86" s="30" t="n">
        <v>500</v>
      </c>
      <c r="M86" s="31" t="n"/>
      <c r="N86" s="31" t="n"/>
      <c r="O86" s="32">
        <f>IF(OR(M86="",N86=""),0,L86*M86*N86)</f>
        <v/>
      </c>
    </row>
    <row r="87" ht="35.05" customHeight="1" s="17">
      <c r="A87" s="28" t="n">
        <v>82</v>
      </c>
      <c r="B87" s="28" t="inlineStr">
        <is>
          <t>F. Pháp lý &amp; chính trị</t>
        </is>
      </c>
      <c r="C87" s="28" t="inlineStr">
        <is>
          <t>Căng thẳng địa chính trị / chiến tranh</t>
        </is>
      </c>
      <c r="D87" s="28" t="inlineStr">
        <is>
          <t>Leo thang</t>
        </is>
      </c>
      <c r="E87" s="28" t="inlineStr">
        <is>
          <t>Mức độ</t>
        </is>
      </c>
      <c r="F87" s="28" t="inlineStr">
        <is>
          <t>Reuters, AP</t>
        </is>
      </c>
      <c r="G87" s="28" t="inlineStr">
        <is>
          <t>Căng thẳng lời nói</t>
        </is>
      </c>
      <c r="H87" s="28" t="inlineStr">
        <is>
          <t>Trừng phạt</t>
        </is>
      </c>
      <c r="I87" s="28" t="inlineStr">
        <is>
          <t>Đụng độ hạn chế</t>
        </is>
      </c>
      <c r="J87" s="28" t="inlineStr">
        <is>
          <t>Tấn công quy mô lớn</t>
        </is>
      </c>
      <c r="K87" s="28" t="inlineStr">
        <is>
          <t>Chiến tranh cường quốc / phong tỏa eo biển</t>
        </is>
      </c>
      <c r="L87" s="30" t="n">
        <v>-600</v>
      </c>
      <c r="M87" s="31" t="n"/>
      <c r="N87" s="31" t="n"/>
      <c r="O87" s="32">
        <f>IF(OR(M87="",N87=""),0,L87*M87*N87)</f>
        <v/>
      </c>
    </row>
    <row r="88" ht="15" customHeight="1" s="17">
      <c r="A88" s="28" t="n">
        <v>83</v>
      </c>
      <c r="B88" s="28" t="inlineStr">
        <is>
          <t>F. Pháp lý &amp; chính trị</t>
        </is>
      </c>
      <c r="C88" s="28" t="inlineStr">
        <is>
          <t>Shutdown chính phủ Mỹ / trần nợ</t>
        </is>
      </c>
      <c r="D88" s="28" t="inlineStr">
        <is>
          <t>Rủi ro tăng</t>
        </is>
      </c>
      <c r="E88" s="28" t="inlineStr">
        <is>
          <t>Mức độ</t>
        </is>
      </c>
      <c r="F88" s="28" t="inlineStr">
        <is>
          <t>Reuters, congress.gov</t>
        </is>
      </c>
      <c r="G88" s="28" t="inlineStr">
        <is>
          <t>Tranh cãi</t>
        </is>
      </c>
      <c r="H88" s="28" t="inlineStr">
        <is>
          <t>Hạn chót cận kề</t>
        </is>
      </c>
      <c r="I88" s="28" t="inlineStr">
        <is>
          <t>Shutdown bắt đầu</t>
        </is>
      </c>
      <c r="J88" s="28" t="inlineStr">
        <is>
          <t>Shutdown kéo dài</t>
        </is>
      </c>
      <c r="K88" s="28" t="inlineStr">
        <is>
          <t>Nguy cơ vỡ nợ</t>
        </is>
      </c>
      <c r="L88" s="30" t="n">
        <v>-250</v>
      </c>
      <c r="M88" s="31" t="n"/>
      <c r="N88" s="31" t="n"/>
      <c r="O88" s="32">
        <f>IF(OR(M88="",N88=""),0,L88*M88*N88)</f>
        <v/>
      </c>
    </row>
    <row r="89" ht="23.85" customHeight="1" s="17">
      <c r="A89" s="28" t="n">
        <v>84</v>
      </c>
      <c r="B89" s="28" t="inlineStr">
        <is>
          <t>F. Pháp lý &amp; chính trị</t>
        </is>
      </c>
      <c r="C89" s="28" t="inlineStr">
        <is>
          <t>Chính sách thuế crypto</t>
        </is>
      </c>
      <c r="D89" s="28" t="inlineStr">
        <is>
          <t>Thắt chặt thuế</t>
        </is>
      </c>
      <c r="E89" s="28" t="inlineStr">
        <is>
          <t>Mức độ</t>
        </is>
      </c>
      <c r="F89" s="28" t="inlineStr">
        <is>
          <t>IRS, Reuters</t>
        </is>
      </c>
      <c r="G89" s="28" t="inlineStr">
        <is>
          <t>Đề xuất</t>
        </is>
      </c>
      <c r="H89" s="28" t="inlineStr">
        <is>
          <t>Tham vấn</t>
        </is>
      </c>
      <c r="I89" s="28" t="inlineStr">
        <is>
          <t>Thông qua ở nước nhỏ</t>
        </is>
      </c>
      <c r="J89" s="28" t="inlineStr">
        <is>
          <t>Thông qua ở nền kinh tế lớn</t>
        </is>
      </c>
      <c r="K89" s="28" t="inlineStr">
        <is>
          <t>Thuế mới diện rộng tại Mỹ</t>
        </is>
      </c>
      <c r="L89" s="30" t="n">
        <v>-300</v>
      </c>
      <c r="M89" s="31" t="n"/>
      <c r="N89" s="31" t="n"/>
      <c r="O89" s="32">
        <f>IF(OR(M89="",N89=""),0,L89*M89*N89)</f>
        <v/>
      </c>
    </row>
    <row r="90" ht="15" customHeight="1" s="17">
      <c r="A90" s="28" t="n">
        <v>85</v>
      </c>
      <c r="B90" s="29" t="inlineStr">
        <is>
          <t>G. Sự kiện ngành</t>
        </is>
      </c>
      <c r="C90" s="28" t="inlineStr">
        <is>
          <t>Sàn bị hack</t>
        </is>
      </c>
      <c r="D90" s="28" t="inlineStr">
        <is>
          <t>Bị hack</t>
        </is>
      </c>
      <c r="E90" s="28" t="inlineStr">
        <is>
          <t>Thiệt hại (triệu USD)</t>
        </is>
      </c>
      <c r="F90" s="28" t="inlineStr">
        <is>
          <t>Rekt.news, PeckShield</t>
        </is>
      </c>
      <c r="G90" s="28" t="inlineStr">
        <is>
          <t>10</t>
        </is>
      </c>
      <c r="H90" s="28" t="inlineStr">
        <is>
          <t>50</t>
        </is>
      </c>
      <c r="I90" s="28" t="inlineStr">
        <is>
          <t>150</t>
        </is>
      </c>
      <c r="J90" s="28" t="inlineStr">
        <is>
          <t>500</t>
        </is>
      </c>
      <c r="K90" s="28" t="inlineStr">
        <is>
          <t>≥1000</t>
        </is>
      </c>
      <c r="L90" s="30" t="n">
        <v>-450</v>
      </c>
      <c r="M90" s="31" t="n"/>
      <c r="N90" s="31" t="n"/>
      <c r="O90" s="32">
        <f>IF(OR(M90="",N90=""),0,L90*M90*N90)</f>
        <v/>
      </c>
    </row>
    <row r="91" ht="23.85" customHeight="1" s="17">
      <c r="A91" s="28" t="n">
        <v>86</v>
      </c>
      <c r="B91" s="28" t="inlineStr">
        <is>
          <t>G. Sự kiện ngành</t>
        </is>
      </c>
      <c r="C91" s="28" t="inlineStr">
        <is>
          <t>Sàn phá sản / mất thanh khoản</t>
        </is>
      </c>
      <c r="D91" s="28" t="inlineStr">
        <is>
          <t>Có sự kiện</t>
        </is>
      </c>
      <c r="E91" s="28" t="inlineStr">
        <is>
          <t>Quy mô sàn</t>
        </is>
      </c>
      <c r="F91" s="28" t="inlineStr">
        <is>
          <t>Reuters, CoinDesk</t>
        </is>
      </c>
      <c r="G91" s="28" t="inlineStr">
        <is>
          <t>Tin đồn sàn nhỏ</t>
        </is>
      </c>
      <c r="H91" s="28" t="inlineStr">
        <is>
          <t>Sàn nhỏ dừng rút</t>
        </is>
      </c>
      <c r="I91" s="28" t="inlineStr">
        <is>
          <t>Sàn vừa</t>
        </is>
      </c>
      <c r="J91" s="28" t="inlineStr">
        <is>
          <t>Sàn top 20</t>
        </is>
      </c>
      <c r="K91" s="28" t="inlineStr">
        <is>
          <t>Sàn top 5</t>
        </is>
      </c>
      <c r="L91" s="30" t="n">
        <v>-850</v>
      </c>
      <c r="M91" s="31" t="n"/>
      <c r="N91" s="31" t="n"/>
      <c r="O91" s="32">
        <f>IF(OR(M91="",N91=""),0,L91*M91*N91)</f>
        <v/>
      </c>
    </row>
    <row r="92" ht="15" customHeight="1" s="17">
      <c r="A92" s="28" t="n">
        <v>87</v>
      </c>
      <c r="B92" s="28" t="inlineStr">
        <is>
          <t>G. Sự kiện ngành</t>
        </is>
      </c>
      <c r="C92" s="28" t="inlineStr">
        <is>
          <t>Stablecoin mất peg</t>
        </is>
      </c>
      <c r="D92" s="28" t="inlineStr">
        <is>
          <t>Mất peg</t>
        </is>
      </c>
      <c r="E92" s="28" t="inlineStr">
        <is>
          <t>Mức lệch (%)</t>
        </is>
      </c>
      <c r="F92" s="28" t="inlineStr">
        <is>
          <t>CoinGecko, Curve</t>
        </is>
      </c>
      <c r="G92" s="28" t="inlineStr">
        <is>
          <t>0.3</t>
        </is>
      </c>
      <c r="H92" s="28" t="inlineStr">
        <is>
          <t>0.5</t>
        </is>
      </c>
      <c r="I92" s="28" t="inlineStr">
        <is>
          <t>1</t>
        </is>
      </c>
      <c r="J92" s="28" t="inlineStr">
        <is>
          <t>3</t>
        </is>
      </c>
      <c r="K92" s="28" t="inlineStr">
        <is>
          <t>≥5 hoặc USDT/USDC</t>
        </is>
      </c>
      <c r="L92" s="30" t="n">
        <v>258</v>
      </c>
      <c r="M92" s="31" t="n"/>
      <c r="N92" s="31" t="n"/>
      <c r="O92" s="32">
        <f>IF(OR(M92="",N92=""),0,L92*M92*N92)</f>
        <v/>
      </c>
    </row>
    <row r="93" ht="15" customHeight="1" s="17">
      <c r="A93" s="28" t="n">
        <v>88</v>
      </c>
      <c r="B93" s="28" t="inlineStr">
        <is>
          <t>G. Sự kiện ngành</t>
        </is>
      </c>
      <c r="C93" s="28" t="inlineStr">
        <is>
          <t>Mt.Gox / FTX trả coin cho chủ nợ</t>
        </is>
      </c>
      <c r="D93" s="28" t="inlineStr">
        <is>
          <t>Chuyển / trả coin</t>
        </is>
      </c>
      <c r="E93" s="28" t="inlineStr">
        <is>
          <t>Khối lượng (BTC)</t>
        </is>
      </c>
      <c r="F93" s="28" t="inlineStr">
        <is>
          <t>Arkham, thông báo tòa</t>
        </is>
      </c>
      <c r="G93" s="28" t="inlineStr">
        <is>
          <t>1k</t>
        </is>
      </c>
      <c r="H93" s="28" t="inlineStr">
        <is>
          <t>5k</t>
        </is>
      </c>
      <c r="I93" s="28" t="inlineStr">
        <is>
          <t>10k</t>
        </is>
      </c>
      <c r="J93" s="28" t="inlineStr">
        <is>
          <t>30k</t>
        </is>
      </c>
      <c r="K93" s="28" t="inlineStr">
        <is>
          <t>≥50k</t>
        </is>
      </c>
      <c r="L93" s="30" t="n">
        <v>-450</v>
      </c>
      <c r="M93" s="31" t="n"/>
      <c r="N93" s="31" t="n"/>
      <c r="O93" s="32">
        <f>IF(OR(M93="",N93=""),0,L93*M93*N93)</f>
        <v/>
      </c>
    </row>
    <row r="94" ht="15" customHeight="1" s="17">
      <c r="A94" s="28" t="n">
        <v>89</v>
      </c>
      <c r="B94" s="28" t="inlineStr">
        <is>
          <t>G. Sự kiện ngành</t>
        </is>
      </c>
      <c r="C94" s="28" t="inlineStr">
        <is>
          <t>Chu kỳ halving</t>
        </is>
      </c>
      <c r="D94" s="28" t="inlineStr">
        <is>
          <t>Gần halving</t>
        </is>
      </c>
      <c r="E94" s="28" t="inlineStr">
        <is>
          <t>Số ngày còn lại</t>
        </is>
      </c>
      <c r="F94" s="28" t="inlineStr">
        <is>
          <t>mempool.space</t>
        </is>
      </c>
      <c r="G94" s="28" t="inlineStr">
        <is>
          <t>180</t>
        </is>
      </c>
      <c r="H94" s="28" t="inlineStr">
        <is>
          <t>90</t>
        </is>
      </c>
      <c r="I94" s="28" t="inlineStr">
        <is>
          <t>30</t>
        </is>
      </c>
      <c r="J94" s="28" t="inlineStr">
        <is>
          <t>7</t>
        </is>
      </c>
      <c r="K94" s="28" t="inlineStr">
        <is>
          <t>Ngày halving</t>
        </is>
      </c>
      <c r="L94" s="30" t="n">
        <v>293</v>
      </c>
      <c r="M94" s="31" t="n"/>
      <c r="N94" s="31" t="n"/>
      <c r="O94" s="32">
        <f>IF(OR(M94="",N94=""),0,L94*M94*N94)</f>
        <v/>
      </c>
    </row>
    <row r="95" ht="23.85" customHeight="1" s="17">
      <c r="A95" s="28" t="n">
        <v>90</v>
      </c>
      <c r="B95" s="28" t="inlineStr">
        <is>
          <t>G. Sự kiện ngành</t>
        </is>
      </c>
      <c r="C95" s="28" t="inlineStr">
        <is>
          <t>Ra mắt sản phẩm mới (ETF, options)</t>
        </is>
      </c>
      <c r="D95" s="28" t="inlineStr">
        <is>
          <t>Ra mắt / được duyệt</t>
        </is>
      </c>
      <c r="E95" s="28" t="inlineStr">
        <is>
          <t>Mức độ</t>
        </is>
      </c>
      <c r="F95" s="28" t="inlineStr">
        <is>
          <t>SEC, Bloomberg</t>
        </is>
      </c>
      <c r="G95" s="28" t="inlineStr">
        <is>
          <t>Nộp hồ sơ</t>
        </is>
      </c>
      <c r="H95" s="28" t="inlineStr">
        <is>
          <t>Được xem xét</t>
        </is>
      </c>
      <c r="I95" s="28" t="inlineStr">
        <is>
          <t>Được duyệt sản phẩm nhỏ</t>
        </is>
      </c>
      <c r="J95" s="28" t="inlineStr">
        <is>
          <t>Ra mắt sản phẩm lớn</t>
        </is>
      </c>
      <c r="K95" s="28" t="inlineStr">
        <is>
          <t>Sản phẩm mới đầu tiên ở thị trường lớn</t>
        </is>
      </c>
      <c r="L95" s="30" t="n">
        <v>400</v>
      </c>
      <c r="M95" s="31" t="n"/>
      <c r="N95" s="31" t="n"/>
      <c r="O95" s="32">
        <f>IF(OR(M95="",N95=""),0,L95*M95*N95)</f>
        <v/>
      </c>
    </row>
    <row r="96" ht="23.85" customHeight="1" s="17">
      <c r="A96" s="28" t="n">
        <v>91</v>
      </c>
      <c r="B96" s="28" t="inlineStr">
        <is>
          <t>G. Sự kiện ngành</t>
        </is>
      </c>
      <c r="C96" s="28" t="inlineStr">
        <is>
          <t>Ngân hàng lớn tham gia crypto</t>
        </is>
      </c>
      <c r="D96" s="28" t="inlineStr">
        <is>
          <t>Tham gia</t>
        </is>
      </c>
      <c r="E96" s="28" t="inlineStr">
        <is>
          <t>Quy mô ngân hàng</t>
        </is>
      </c>
      <c r="F96" s="28" t="inlineStr">
        <is>
          <t>Reuters, Bloomberg</t>
        </is>
      </c>
      <c r="G96" s="28" t="inlineStr">
        <is>
          <t>Ngân hàng nhỏ</t>
        </is>
      </c>
      <c r="H96" s="28" t="inlineStr">
        <is>
          <t>Ngân hàng khu vực</t>
        </is>
      </c>
      <c r="I96" s="28" t="inlineStr">
        <is>
          <t>Ngân hàng lớn thử nghiệm</t>
        </is>
      </c>
      <c r="J96" s="28" t="inlineStr">
        <is>
          <t>Ngân hàng lớn triển khai</t>
        </is>
      </c>
      <c r="K96" s="28" t="inlineStr">
        <is>
          <t>Top 5 toàn cầu mở dịch vụ BTC</t>
        </is>
      </c>
      <c r="L96" s="30" t="n">
        <v>400</v>
      </c>
      <c r="M96" s="31" t="n"/>
      <c r="N96" s="31" t="n"/>
      <c r="O96" s="32">
        <f>IF(OR(M96="",N96=""),0,L96*M96*N96)</f>
        <v/>
      </c>
    </row>
    <row r="97" ht="23.85" customHeight="1" s="17">
      <c r="A97" s="28" t="n">
        <v>92</v>
      </c>
      <c r="B97" s="28" t="inlineStr">
        <is>
          <t>G. Sự kiện ngành</t>
        </is>
      </c>
      <c r="C97" s="28" t="inlineStr">
        <is>
          <t>Biến động mạnh của ETH / altcoin lớn</t>
        </is>
      </c>
      <c r="D97" s="28" t="inlineStr">
        <is>
          <t>ETH tăng</t>
        </is>
      </c>
      <c r="E97" s="28" t="inlineStr">
        <is>
          <t>Thay đổi trong ngày (%)</t>
        </is>
      </c>
      <c r="F97" s="28" t="inlineStr">
        <is>
          <t>CoinGecko</t>
        </is>
      </c>
      <c r="G97" s="28" t="inlineStr">
        <is>
          <t>2</t>
        </is>
      </c>
      <c r="H97" s="28" t="inlineStr">
        <is>
          <t>4</t>
        </is>
      </c>
      <c r="I97" s="28" t="inlineStr">
        <is>
          <t>6</t>
        </is>
      </c>
      <c r="J97" s="28" t="inlineStr">
        <is>
          <t>10</t>
        </is>
      </c>
      <c r="K97" s="28" t="inlineStr">
        <is>
          <t>≥15</t>
        </is>
      </c>
      <c r="L97" s="30" t="n">
        <v>-573</v>
      </c>
      <c r="M97" s="31" t="n"/>
      <c r="N97" s="31" t="n"/>
      <c r="O97" s="32">
        <f>IF(OR(M97="",N97=""),0,L97*M97*N97)</f>
        <v/>
      </c>
    </row>
    <row r="98" ht="23.85" customHeight="1" s="17">
      <c r="A98" s="28" t="n">
        <v>93</v>
      </c>
      <c r="B98" s="28" t="inlineStr">
        <is>
          <t>G. Sự kiện ngành</t>
        </is>
      </c>
      <c r="C98" s="28" t="inlineStr">
        <is>
          <t>Lỗ hổng / sự cố mạng Bitcoin</t>
        </is>
      </c>
      <c r="D98" s="28" t="inlineStr">
        <is>
          <t>Có sự cố</t>
        </is>
      </c>
      <c r="E98" s="28" t="inlineStr">
        <is>
          <t>Mức nghiêm trọng</t>
        </is>
      </c>
      <c r="F98" s="28" t="inlineStr">
        <is>
          <t>bitcoincore.org, GitHub</t>
        </is>
      </c>
      <c r="G98" s="28" t="inlineStr">
        <is>
          <t>Tranh luận lý thuyết</t>
        </is>
      </c>
      <c r="H98" s="28" t="inlineStr">
        <is>
          <t>Lỗi phần mềm nhỏ</t>
        </is>
      </c>
      <c r="I98" s="28" t="inlineStr">
        <is>
          <t>Lỗi node đã vá</t>
        </is>
      </c>
      <c r="J98" s="28" t="inlineStr">
        <is>
          <t>Lỗ hổng nghiêm trọng</t>
        </is>
      </c>
      <c r="K98" s="28" t="inlineStr">
        <is>
          <t>Sự cố đồng thuận / fork ngoài kế hoạch</t>
        </is>
      </c>
      <c r="L98" s="30" t="n">
        <v>-900</v>
      </c>
      <c r="M98" s="31" t="n"/>
      <c r="N98" s="31" t="n"/>
      <c r="O98" s="32">
        <f>IF(OR(M98="",N98=""),0,L98*M98*N98)</f>
        <v/>
      </c>
    </row>
    <row r="99" ht="23.85" customHeight="1" s="17">
      <c r="A99" s="28" t="n">
        <v>94</v>
      </c>
      <c r="B99" s="28" t="inlineStr">
        <is>
          <t>G. Sự kiện ngành</t>
        </is>
      </c>
      <c r="C99" s="28" t="inlineStr">
        <is>
          <t>Doanh nghiệp thanh toán chấp nhận BTC</t>
        </is>
      </c>
      <c r="D99" s="28" t="inlineStr">
        <is>
          <t>Chấp nhận</t>
        </is>
      </c>
      <c r="E99" s="28" t="inlineStr">
        <is>
          <t>Quy mô doanh nghiệp</t>
        </is>
      </c>
      <c r="F99" s="28" t="inlineStr">
        <is>
          <t>Reuters</t>
        </is>
      </c>
      <c r="G99" s="28" t="inlineStr">
        <is>
          <t>Doanh nghiệp nhỏ</t>
        </is>
      </c>
      <c r="H99" s="28" t="inlineStr">
        <is>
          <t>Chuỗi khu vực</t>
        </is>
      </c>
      <c r="I99" s="28" t="inlineStr">
        <is>
          <t>Doanh nghiệp lớn</t>
        </is>
      </c>
      <c r="J99" s="28" t="inlineStr">
        <is>
          <t>Nền tảng thanh toán lớn</t>
        </is>
      </c>
      <c r="K99" s="28" t="inlineStr">
        <is>
          <t>Tập đoàn toàn cầu (Visa, PayPal…)</t>
        </is>
      </c>
      <c r="L99" s="30" t="n">
        <v>150</v>
      </c>
      <c r="M99" s="31" t="n"/>
      <c r="N99" s="31" t="n"/>
      <c r="O99" s="32">
        <f>IF(OR(M99="",N99=""),0,L99*M99*N99)</f>
        <v/>
      </c>
    </row>
    <row r="100" ht="23.85" customHeight="1" s="17">
      <c r="A100" s="28" t="n">
        <v>95</v>
      </c>
      <c r="B100" s="29" t="inlineStr">
        <is>
          <t>H. Tâm lý &amp; kỹ thuật</t>
        </is>
      </c>
      <c r="C100" s="28" t="inlineStr">
        <is>
          <t>Fear &amp; Greed Index</t>
        </is>
      </c>
      <c r="D100" s="28" t="inlineStr">
        <is>
          <t>Tham lam (sợ hãi → hướng −1)</t>
        </is>
      </c>
      <c r="E100" s="28" t="inlineStr">
        <is>
          <t>Giá trị chỉ số (sợ hãi: 40/30/25/15/≤10)</t>
        </is>
      </c>
      <c r="F100" s="28" t="inlineStr">
        <is>
          <t>alternative.me</t>
        </is>
      </c>
      <c r="G100" s="28" t="inlineStr">
        <is>
          <t>60</t>
        </is>
      </c>
      <c r="H100" s="28" t="inlineStr">
        <is>
          <t>70</t>
        </is>
      </c>
      <c r="I100" s="28" t="inlineStr">
        <is>
          <t>75</t>
        </is>
      </c>
      <c r="J100" s="28" t="inlineStr">
        <is>
          <t>85</t>
        </is>
      </c>
      <c r="K100" s="28" t="inlineStr">
        <is>
          <t>≥90</t>
        </is>
      </c>
      <c r="L100" s="30" t="n">
        <v>176</v>
      </c>
      <c r="M100" s="31" t="n"/>
      <c r="N100" s="31" t="n"/>
      <c r="O100" s="32">
        <f>IF(OR(M100="",N100=""),0,L100*M100*N100)</f>
        <v/>
      </c>
    </row>
    <row r="101" ht="15" customHeight="1" s="17">
      <c r="A101" s="28" t="n">
        <v>96</v>
      </c>
      <c r="B101" s="28" t="inlineStr">
        <is>
          <t>H. Tâm lý &amp; kỹ thuật</t>
        </is>
      </c>
      <c r="C101" s="28" t="inlineStr">
        <is>
          <t>Google Trends "Bitcoin"</t>
        </is>
      </c>
      <c r="D101" s="28" t="inlineStr">
        <is>
          <t>Tăng đột biến</t>
        </is>
      </c>
      <c r="E101" s="28" t="inlineStr">
        <is>
          <t>Thay đổi tuần (%)</t>
        </is>
      </c>
      <c r="F101" s="28" t="inlineStr">
        <is>
          <t>Google Trends</t>
        </is>
      </c>
      <c r="G101" s="28" t="inlineStr">
        <is>
          <t>20</t>
        </is>
      </c>
      <c r="H101" s="28" t="inlineStr">
        <is>
          <t>50</t>
        </is>
      </c>
      <c r="I101" s="28" t="inlineStr">
        <is>
          <t>100</t>
        </is>
      </c>
      <c r="J101" s="28" t="inlineStr">
        <is>
          <t>200</t>
        </is>
      </c>
      <c r="K101" s="28" t="inlineStr">
        <is>
          <t>≥300</t>
        </is>
      </c>
      <c r="L101" s="30" t="n">
        <v>-100</v>
      </c>
      <c r="M101" s="31" t="n"/>
      <c r="N101" s="31" t="n"/>
      <c r="O101" s="32">
        <f>IF(OR(M101="",N101=""),0,L101*M101*N101)</f>
        <v/>
      </c>
    </row>
    <row r="102" ht="15" customHeight="1" s="17">
      <c r="A102" s="28" t="n">
        <v>97</v>
      </c>
      <c r="B102" s="28" t="inlineStr">
        <is>
          <t>H. Tâm lý &amp; kỹ thuật</t>
        </is>
      </c>
      <c r="C102" s="28" t="inlineStr">
        <is>
          <t>Tâm lý mạng xã hội (X, Reddit)</t>
        </is>
      </c>
      <c r="D102" s="28" t="inlineStr">
        <is>
          <t>Hưng phấn</t>
        </is>
      </c>
      <c r="E102" s="28" t="inlineStr">
        <is>
          <t>Điểm sentiment so trung bình</t>
        </is>
      </c>
      <c r="F102" s="28" t="inlineStr">
        <is>
          <t>Santiment, LunarCrush</t>
        </is>
      </c>
      <c r="G102" s="28" t="inlineStr">
        <is>
          <t>Nhẹ</t>
        </is>
      </c>
      <c r="H102" s="28" t="inlineStr">
        <is>
          <t>Rõ</t>
        </is>
      </c>
      <c r="I102" s="28" t="inlineStr">
        <is>
          <t>Mạnh</t>
        </is>
      </c>
      <c r="J102" s="28" t="inlineStr">
        <is>
          <t>Rất mạnh</t>
        </is>
      </c>
      <c r="K102" s="28" t="inlineStr">
        <is>
          <t>Cực đoan</t>
        </is>
      </c>
      <c r="L102" s="30" t="n">
        <v>-150</v>
      </c>
      <c r="M102" s="31" t="n"/>
      <c r="N102" s="31" t="n"/>
      <c r="O102" s="32">
        <f>IF(OR(M102="",N102=""),0,L102*M102*N102)</f>
        <v/>
      </c>
    </row>
    <row r="103" ht="15" customHeight="1" s="17">
      <c r="A103" s="28" t="n">
        <v>98</v>
      </c>
      <c r="B103" s="28" t="inlineStr">
        <is>
          <t>H. Tâm lý &amp; kỹ thuật</t>
        </is>
      </c>
      <c r="C103" s="28" t="inlineStr">
        <is>
          <t>BTC dominance</t>
        </is>
      </c>
      <c r="D103" s="28" t="inlineStr">
        <is>
          <t>Tăng</t>
        </is>
      </c>
      <c r="E103" s="28" t="inlineStr">
        <is>
          <t>Thay đổi trong ngày (điểm %)</t>
        </is>
      </c>
      <c r="F103" s="28" t="inlineStr">
        <is>
          <t>TradingView (BTC.D)</t>
        </is>
      </c>
      <c r="G103" s="28" t="inlineStr">
        <is>
          <t>0.3</t>
        </is>
      </c>
      <c r="H103" s="28" t="inlineStr">
        <is>
          <t>0.6</t>
        </is>
      </c>
      <c r="I103" s="28" t="inlineStr">
        <is>
          <t>1.0</t>
        </is>
      </c>
      <c r="J103" s="28" t="inlineStr">
        <is>
          <t>1.5</t>
        </is>
      </c>
      <c r="K103" s="28" t="inlineStr">
        <is>
          <t>≥2</t>
        </is>
      </c>
      <c r="L103" s="30" t="n">
        <v>150</v>
      </c>
      <c r="M103" s="31" t="n"/>
      <c r="N103" s="31" t="n"/>
      <c r="O103" s="32">
        <f>IF(OR(M103="",N103=""),0,L103*M103*N103)</f>
        <v/>
      </c>
    </row>
    <row r="104" ht="23.85" customHeight="1" s="17">
      <c r="A104" s="28" t="n">
        <v>99</v>
      </c>
      <c r="B104" s="28" t="inlineStr">
        <is>
          <t>H. Tâm lý &amp; kỹ thuật</t>
        </is>
      </c>
      <c r="C104" s="28" t="inlineStr">
        <is>
          <t>Vị trí giá so MA200 / mốc kỹ thuật</t>
        </is>
      </c>
      <c r="D104" s="28" t="inlineStr">
        <is>
          <t>Phá kháng cự lên trên (phá hỗ trợ → −1)</t>
        </is>
      </c>
      <c r="E104" s="28" t="inlineStr">
        <is>
          <t>Mốc bị phá</t>
        </is>
      </c>
      <c r="F104" s="28" t="inlineStr">
        <is>
          <t>TradingView</t>
        </is>
      </c>
      <c r="G104" s="28" t="inlineStr">
        <is>
          <t>Chạm kháng cự</t>
        </is>
      </c>
      <c r="H104" s="28" t="inlineStr">
        <is>
          <t>Vượt MA50</t>
        </is>
      </c>
      <c r="I104" s="28" t="inlineStr">
        <is>
          <t>Vượt MA200</t>
        </is>
      </c>
      <c r="J104" s="28" t="inlineStr">
        <is>
          <t>Vượt đỉnh tháng</t>
        </is>
      </c>
      <c r="K104" s="28" t="inlineStr">
        <is>
          <t>Phá ATH</t>
        </is>
      </c>
      <c r="L104" s="30" t="n">
        <v>743</v>
      </c>
      <c r="M104" s="31" t="n"/>
      <c r="N104" s="31" t="n"/>
      <c r="O104" s="32">
        <f>IF(OR(M104="",N104=""),0,L104*M104*N104)</f>
        <v/>
      </c>
    </row>
    <row r="105" ht="23.85" customHeight="1" s="17">
      <c r="A105" s="28" t="n">
        <v>100</v>
      </c>
      <c r="B105" s="28" t="inlineStr">
        <is>
          <t>H. Tâm lý &amp; kỹ thuật</t>
        </is>
      </c>
      <c r="C105" s="28" t="inlineStr">
        <is>
          <t>Tin đồn lớn (FUD/FOMO)</t>
        </is>
      </c>
      <c r="D105" s="28" t="inlineStr">
        <is>
          <t>Tin đồn tích cực (FUD → −1)</t>
        </is>
      </c>
      <c r="E105" s="28" t="inlineStr">
        <is>
          <t>Mức lan truyền / độ tin cậy</t>
        </is>
      </c>
      <c r="F105" s="28" t="inlineStr">
        <is>
          <t>X, CoinDesk</t>
        </is>
      </c>
      <c r="G105" s="28" t="inlineStr">
        <is>
          <t>Tài khoản nhỏ</t>
        </is>
      </c>
      <c r="H105" s="28" t="inlineStr">
        <is>
          <t>KOL</t>
        </is>
      </c>
      <c r="I105" s="28" t="inlineStr">
        <is>
          <t>Báo lớn đưa, chưa xác nhận</t>
        </is>
      </c>
      <c r="J105" s="28" t="inlineStr">
        <is>
          <t>Lan truyền diện rộng</t>
        </is>
      </c>
      <c r="K105" s="28" t="inlineStr">
        <is>
          <t>Nguồn đáng tin gần như xác nhận</t>
        </is>
      </c>
      <c r="L105" s="30" t="n">
        <v>200</v>
      </c>
      <c r="M105" s="31" t="n"/>
      <c r="N105" s="31" t="n"/>
      <c r="O105" s="32">
        <f>IF(OR(M105="",N105=""),0,L105*M105*N105)</f>
        <v/>
      </c>
    </row>
  </sheetData>
  <autoFilter ref="A5:O105"/>
  <dataValidations count="3">
    <dataValidation sqref="M6:M105" showDropDown="0" showInputMessage="0" showErrorMessage="0" allowBlank="1" type="list" errorStyle="stop" operator="between">
      <formula1>"-1,0,1"</formula1>
      <formula2>0</formula2>
    </dataValidation>
    <dataValidation sqref="N6:N105" showDropDown="0" showInputMessage="0" showErrorMessage="0" allowBlank="1" type="decimal" errorStyle="stop" operator="between">
      <formula1>0.01</formula1>
      <formula2>1</formula2>
    </dataValidation>
    <dataValidation sqref="L6:L105" showDropDown="0" showInputMessage="0" showErrorMessage="0" allowBlank="0" type="whole" errorStyle="stop" operator="between">
      <formula1>-1000</formula1>
      <formula2>1000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2026-10-22T12:40:13Z</dcterms:created>
  <dcterms:modified xmlns:dcterms="http://purl.org/dc/terms/" xmlns:xsi="http://www.w3.org/2001/XMLSchema-instance" xsi:type="dcterms:W3CDTF">2026-10-22T14:48:58Z</dcterms:modified>
  <cp:revision>0</cp:revision>
</cp:coreProperties>
</file>